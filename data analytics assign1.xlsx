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sweety/"/>
    </mc:Choice>
  </mc:AlternateContent>
  <xr:revisionPtr revIDLastSave="3" documentId="13_ncr:1_{59B159E0-E7B7-40A2-A291-1BEA2139CB07}" xr6:coauthVersionLast="47" xr6:coauthVersionMax="47" xr10:uidLastSave="{2BF3F775-4B9B-4534-9F47-0BEB324572F1}"/>
  <bookViews>
    <workbookView xWindow="-108" yWindow="-108" windowWidth="23256" windowHeight="12456" xr2:uid="{CDBFD692-2AAC-40B4-81EE-6E15B2199978}"/>
  </bookViews>
  <sheets>
    <sheet name="MEAN OF TREATMENT COSTS" sheetId="2" r:id="rId1"/>
    <sheet name="MEDIAN LENGTH OF STAY" sheetId="3" r:id="rId2"/>
    <sheet name="MODE OF RECOVERY DAYS" sheetId="4" r:id="rId3"/>
    <sheet name="Total Treatment Costs" sheetId="5" r:id="rId4"/>
    <sheet name="max recovery days" sheetId="6" r:id="rId5"/>
    <sheet name="min length of stay" sheetId="7" r:id="rId6"/>
    <sheet name="number of patients" sheetId="9" r:id="rId7"/>
    <sheet name="average treatment costs" sheetId="10" r:id="rId8"/>
    <sheet name="IF CLAUSE" sheetId="11" r:id="rId9"/>
    <sheet name="total cost of cardiology" sheetId="12" r:id="rId10"/>
    <sheet name="more than 5 days" sheetId="14" r:id="rId11"/>
    <sheet name="avg cost of female patients" sheetId="15" r:id="rId12"/>
    <sheet name="proper case" sheetId="17" r:id="rId13"/>
    <sheet name="FIRST,MID,LAST IN POWER QUERY" sheetId="19" r:id="rId14"/>
    <sheet name="first,mid,last" sheetId="18" r:id="rId15"/>
    <sheet name="UPPER,LOWER IN POWER QUERY" sheetId="20" r:id="rId16"/>
    <sheet name="UPPER ,LOWER" sheetId="22" r:id="rId17"/>
    <sheet name="top 5 department treatment cost" sheetId="23" r:id="rId18"/>
    <sheet name="avg cost per dept" sheetId="24" r:id="rId19"/>
    <sheet name="COUNT OF PATIENTS PER DEPT" sheetId="25" r:id="rId20"/>
    <sheet name="LONG STAY PATIENTS" sheetId="26" r:id="rId21"/>
    <sheet name="Sheet2" sheetId="13" r:id="rId22"/>
    <sheet name="Sheet3" sheetId="21" r:id="rId23"/>
  </sheets>
  <definedNames>
    <definedName name="ExternalData_1" localSheetId="7" hidden="1">'average treatment costs'!$A$1:$H$26</definedName>
    <definedName name="ExternalData_1" localSheetId="11" hidden="1">'avg cost of female patients'!$A$1:$H$26</definedName>
    <definedName name="ExternalData_1" localSheetId="18" hidden="1">'avg cost per dept'!$A$1:$H$26</definedName>
    <definedName name="ExternalData_1" localSheetId="19" hidden="1">'COUNT OF PATIENTS PER DEPT'!$A$1:$H$26</definedName>
    <definedName name="ExternalData_1" localSheetId="14" hidden="1">'first,mid,last'!$A$1:$H$26</definedName>
    <definedName name="ExternalData_1" localSheetId="8" hidden="1">'IF CLAUSE'!$A$1:$H$26</definedName>
    <definedName name="ExternalData_1" localSheetId="20" hidden="1">'LONG STAY PATIENTS'!$A$1:$H$26</definedName>
    <definedName name="ExternalData_1" localSheetId="4" hidden="1">'max recovery days'!$A$1:$H$26</definedName>
    <definedName name="ExternalData_1" localSheetId="0" hidden="1">'MEAN OF TREATMENT COSTS'!$A$1:$H$26</definedName>
    <definedName name="ExternalData_1" localSheetId="1" hidden="1">'MEDIAN LENGTH OF STAY'!$A$1:$H$26</definedName>
    <definedName name="ExternalData_1" localSheetId="5" hidden="1">'min length of stay'!$A$1:$H$26</definedName>
    <definedName name="ExternalData_1" localSheetId="2" hidden="1">'MODE OF RECOVERY DAYS'!$A$1:$H$26</definedName>
    <definedName name="ExternalData_1" localSheetId="10" hidden="1">'more than 5 days'!$A$1:$H$26</definedName>
    <definedName name="ExternalData_1" localSheetId="6" hidden="1">'number of patients'!$A$1:$H$26</definedName>
    <definedName name="ExternalData_1" localSheetId="12" hidden="1">'proper case'!$A$1:$I$26</definedName>
    <definedName name="ExternalData_1" localSheetId="17" hidden="1">'top 5 department treatment cost'!$A$1:$H$26</definedName>
    <definedName name="ExternalData_1" localSheetId="9" hidden="1">'total cost of cardiology'!$A$1:$H$26</definedName>
    <definedName name="ExternalData_1" localSheetId="3" hidden="1">'Total Treatment Costs'!$A$1:$H$26</definedName>
    <definedName name="ExternalData_1" localSheetId="16" hidden="1">'UPPER ,LOWER'!$A$1:$H$26</definedName>
    <definedName name="ExternalData_1" localSheetId="15" hidden="1">'UPPER,LOWER IN POWER QUERY'!$A$1:$J$26</definedName>
    <definedName name="ExternalData_2" localSheetId="13" hidden="1">'FIRST,MID,LAST IN POWER QUERY'!$A$1:$K$26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26" l="1"/>
  <c r="K10" i="25"/>
  <c r="K11" i="25"/>
  <c r="K12" i="25"/>
  <c r="K13" i="25"/>
  <c r="K14" i="25"/>
  <c r="K15" i="25"/>
  <c r="K9" i="25"/>
  <c r="L14" i="24"/>
  <c r="L10" i="24"/>
  <c r="L11" i="24"/>
  <c r="L12" i="24"/>
  <c r="L13" i="24"/>
  <c r="L15" i="24"/>
  <c r="L9" i="24"/>
  <c r="J2" i="22"/>
  <c r="J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I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J2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I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G27" i="15"/>
  <c r="F27" i="14"/>
  <c r="G27" i="12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G27" i="10"/>
  <c r="A27" i="9"/>
  <c r="F27" i="7"/>
  <c r="G27" i="5"/>
  <c r="H27" i="6"/>
  <c r="H28" i="4" a="1"/>
  <c r="H28" i="4" s="1"/>
  <c r="F28" i="3"/>
  <c r="G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5C8F4C-8CF2-4882-9F7D-6850A18D2E90}" keepAlive="1" name="Query - Hospital_Patient_Analytics_Dataset" description="Connection to the 'Hospital_Patient_Analytics_Dataset' query in the workbook." type="5" refreshedVersion="8" background="1" saveData="1">
    <dbPr connection="Provider=Microsoft.Mashup.OleDb.1;Data Source=$Workbook$;Location=Hospital_Patient_Analytics_Dataset;Extended Properties=&quot;&quot;" command="SELECT * FROM [Hospital_Patient_Analytics_Dataset]"/>
  </connection>
  <connection id="2" xr16:uid="{D9366C7A-C3A2-4BFE-9E05-BA855B5BE359}" keepAlive="1" name="Query - Hospital_Patient_Analytics_Dataset (10)" description="Connection to the 'Hospital_Patient_Analytics_Dataset (10)' query in the workbook." type="5" refreshedVersion="8" background="1" saveData="1">
    <dbPr connection="Provider=Microsoft.Mashup.OleDb.1;Data Source=$Workbook$;Location=&quot;Hospital_Patient_Analytics_Dataset (10)&quot;;Extended Properties=&quot;&quot;" command="SELECT * FROM [Hospital_Patient_Analytics_Dataset (10)]"/>
  </connection>
  <connection id="3" xr16:uid="{F80810C9-35D4-4DBA-AC64-49DF86B3B7D4}" keepAlive="1" name="Query - Hospital_Patient_Analytics_Dataset (11)" description="Connection to the 'Hospital_Patient_Analytics_Dataset (11)' query in the workbook." type="5" refreshedVersion="8" background="1" saveData="1">
    <dbPr connection="Provider=Microsoft.Mashup.OleDb.1;Data Source=$Workbook$;Location=&quot;Hospital_Patient_Analytics_Dataset (11)&quot;;Extended Properties=&quot;&quot;" command="SELECT * FROM [Hospital_Patient_Analytics_Dataset (11)]"/>
  </connection>
  <connection id="4" xr16:uid="{A52A53EE-0B49-4FBB-A4E4-F25B73E1D97B}" keepAlive="1" name="Query - Hospital_Patient_Analytics_Dataset (12)" description="Connection to the 'Hospital_Patient_Analytics_Dataset (12)' query in the workbook." type="5" refreshedVersion="8" background="1" saveData="1">
    <dbPr connection="Provider=Microsoft.Mashup.OleDb.1;Data Source=$Workbook$;Location=&quot;Hospital_Patient_Analytics_Dataset (12)&quot;;Extended Properties=&quot;&quot;" command="SELECT * FROM [Hospital_Patient_Analytics_Dataset (12)]"/>
  </connection>
  <connection id="5" xr16:uid="{B47D1A1A-2794-42F3-BFCA-D59B3677EC7A}" keepAlive="1" name="Query - Hospital_Patient_Analytics_Dataset (13)" description="Connection to the 'Hospital_Patient_Analytics_Dataset (13)' query in the workbook." type="5" refreshedVersion="0" background="1">
    <dbPr connection="Provider=Microsoft.Mashup.OleDb.1;Data Source=$Workbook$;Location=&quot;Hospital_Patient_Analytics_Dataset (13)&quot;;Extended Properties=&quot;&quot;" command="SELECT * FROM [Hospital_Patient_Analytics_Dataset (13)]"/>
  </connection>
  <connection id="6" xr16:uid="{D7A7B40E-AEBC-46B1-9EA1-7C57EAE49441}" keepAlive="1" name="Query - Hospital_Patient_Analytics_Dataset (14)" description="Connection to the 'Hospital_Patient_Analytics_Dataset (14)' query in the workbook." type="5" refreshedVersion="8" background="1" saveData="1">
    <dbPr connection="Provider=Microsoft.Mashup.OleDb.1;Data Source=$Workbook$;Location=&quot;Hospital_Patient_Analytics_Dataset (14)&quot;;Extended Properties=&quot;&quot;" command="SELECT * FROM [Hospital_Patient_Analytics_Dataset (14)]"/>
  </connection>
  <connection id="7" xr16:uid="{DB635204-6667-480B-B453-30AF09D31CDB}" keepAlive="1" name="Query - Hospital_Patient_Analytics_Dataset (15)" description="Connection to the 'Hospital_Patient_Analytics_Dataset (15)' query in the workbook." type="5" refreshedVersion="8" background="1" saveData="1">
    <dbPr connection="Provider=Microsoft.Mashup.OleDb.1;Data Source=$Workbook$;Location=&quot;Hospital_Patient_Analytics_Dataset (15)&quot;;Extended Properties=&quot;&quot;" command="SELECT * FROM [Hospital_Patient_Analytics_Dataset (15)]"/>
  </connection>
  <connection id="8" xr16:uid="{AE9CB994-7322-427C-AEDE-E2D999EA05E6}" keepAlive="1" name="Query - Hospital_Patient_Analytics_Dataset (16)" description="Connection to the 'Hospital_Patient_Analytics_Dataset (16)' query in the workbook." type="5" refreshedVersion="8" background="1" saveData="1">
    <dbPr connection="Provider=Microsoft.Mashup.OleDb.1;Data Source=$Workbook$;Location=&quot;Hospital_Patient_Analytics_Dataset (16)&quot;;Extended Properties=&quot;&quot;" command="SELECT * FROM [Hospital_Patient_Analytics_Dataset (16)]"/>
  </connection>
  <connection id="9" xr16:uid="{DD668218-C3F2-4878-AF43-C7B26F013430}" keepAlive="1" name="Query - Hospital_Patient_Analytics_Dataset (17)" description="Connection to the 'Hospital_Patient_Analytics_Dataset (17)' query in the workbook." type="5" refreshedVersion="8" background="1" saveData="1">
    <dbPr connection="Provider=Microsoft.Mashup.OleDb.1;Data Source=$Workbook$;Location=&quot;Hospital_Patient_Analytics_Dataset (17)&quot;;Extended Properties=&quot;&quot;" command="SELECT * FROM [Hospital_Patient_Analytics_Dataset (17)]"/>
  </connection>
  <connection id="10" xr16:uid="{D6DA7BE6-8D5B-4088-8A41-0207F76A47DA}" keepAlive="1" name="Query - Hospital_Patient_Analytics_Dataset (18)" description="Connection to the 'Hospital_Patient_Analytics_Dataset (18)' query in the workbook." type="5" refreshedVersion="8" background="1" saveData="1">
    <dbPr connection="Provider=Microsoft.Mashup.OleDb.1;Data Source=$Workbook$;Location=&quot;Hospital_Patient_Analytics_Dataset (18)&quot;;Extended Properties=&quot;&quot;" command="SELECT * FROM [Hospital_Patient_Analytics_Dataset (18)]"/>
  </connection>
  <connection id="11" xr16:uid="{4BBECB05-982E-496B-B9F4-F8F4D4FB896A}" keepAlive="1" name="Query - Hospital_Patient_Analytics_Dataset (19)" description="Connection to the 'Hospital_Patient_Analytics_Dataset (19)' query in the workbook." type="5" refreshedVersion="8" background="1" saveData="1">
    <dbPr connection="Provider=Microsoft.Mashup.OleDb.1;Data Source=$Workbook$;Location=&quot;Hospital_Patient_Analytics_Dataset (19)&quot;;Extended Properties=&quot;&quot;" command="SELECT * FROM [Hospital_Patient_Analytics_Dataset (19)]"/>
  </connection>
  <connection id="12" xr16:uid="{CFE01525-F07F-4110-B2F7-3B621817C213}" keepAlive="1" name="Query - Hospital_Patient_Analytics_Dataset (2)" description="Connection to the 'Hospital_Patient_Analytics_Dataset (2)' query in the workbook." type="5" refreshedVersion="8" background="1" saveData="1">
    <dbPr connection="Provider=Microsoft.Mashup.OleDb.1;Data Source=$Workbook$;Location=&quot;Hospital_Patient_Analytics_Dataset (2)&quot;;Extended Properties=&quot;&quot;" command="SELECT * FROM [Hospital_Patient_Analytics_Dataset (2)]"/>
  </connection>
  <connection id="13" xr16:uid="{6B62E867-54CA-46D6-B0E8-02890981E88B}" keepAlive="1" name="Query - Hospital_Patient_Analytics_Dataset (20)" description="Connection to the 'Hospital_Patient_Analytics_Dataset (20)' query in the workbook." type="5" refreshedVersion="8" background="1" saveData="1">
    <dbPr connection="Provider=Microsoft.Mashup.OleDb.1;Data Source=$Workbook$;Location=&quot;Hospital_Patient_Analytics_Dataset (20)&quot;;Extended Properties=&quot;&quot;" command="SELECT * FROM [Hospital_Patient_Analytics_Dataset (20)]"/>
  </connection>
  <connection id="14" xr16:uid="{D3C9FF4B-1E91-4842-8BFE-B5820E0387DB}" keepAlive="1" name="Query - Hospital_Patient_Analytics_Dataset (21)" description="Connection to the 'Hospital_Patient_Analytics_Dataset (21)' query in the workbook." type="5" refreshedVersion="8" background="1" saveData="1">
    <dbPr connection="Provider=Microsoft.Mashup.OleDb.1;Data Source=$Workbook$;Location=&quot;Hospital_Patient_Analytics_Dataset (21)&quot;;Extended Properties=&quot;&quot;" command="SELECT * FROM [Hospital_Patient_Analytics_Dataset (21)]"/>
  </connection>
  <connection id="15" xr16:uid="{9BFDACDB-DE8A-4AC4-8A23-636CCD05F10A}" keepAlive="1" name="Query - Hospital_Patient_Analytics_Dataset (22)" description="Connection to the 'Hospital_Patient_Analytics_Dataset (22)' query in the workbook." type="5" refreshedVersion="8" background="1" saveData="1">
    <dbPr connection="Provider=Microsoft.Mashup.OleDb.1;Data Source=$Workbook$;Location=&quot;Hospital_Patient_Analytics_Dataset (22)&quot;;Extended Properties=&quot;&quot;" command="SELECT * FROM [Hospital_Patient_Analytics_Dataset (22)]"/>
  </connection>
  <connection id="16" xr16:uid="{915DE891-A7FE-438F-98DE-F205EA97E29B}" keepAlive="1" name="Query - Hospital_Patient_Analytics_Dataset (3)" description="Connection to the 'Hospital_Patient_Analytics_Dataset (3)' query in the workbook." type="5" refreshedVersion="8" background="1" saveData="1">
    <dbPr connection="Provider=Microsoft.Mashup.OleDb.1;Data Source=$Workbook$;Location=&quot;Hospital_Patient_Analytics_Dataset (3)&quot;;Extended Properties=&quot;&quot;" command="SELECT * FROM [Hospital_Patient_Analytics_Dataset (3)]"/>
  </connection>
  <connection id="17" xr16:uid="{5AD24361-A273-4236-B528-2FA3AC065934}" keepAlive="1" name="Query - Hospital_Patient_Analytics_Dataset (4)" description="Connection to the 'Hospital_Patient_Analytics_Dataset (4)' query in the workbook." type="5" refreshedVersion="8" background="1" saveData="1">
    <dbPr connection="Provider=Microsoft.Mashup.OleDb.1;Data Source=$Workbook$;Location=&quot;Hospital_Patient_Analytics_Dataset (4)&quot;;Extended Properties=&quot;&quot;" command="SELECT * FROM [Hospital_Patient_Analytics_Dataset (4)]"/>
  </connection>
  <connection id="18" xr16:uid="{45BA17C6-C9C5-4EE6-9BBA-9A32A15CE276}" keepAlive="1" name="Query - Hospital_Patient_Analytics_Dataset (5)" description="Connection to the 'Hospital_Patient_Analytics_Dataset (5)' query in the workbook." type="5" refreshedVersion="8" background="1" saveData="1">
    <dbPr connection="Provider=Microsoft.Mashup.OleDb.1;Data Source=$Workbook$;Location=&quot;Hospital_Patient_Analytics_Dataset (5)&quot;;Extended Properties=&quot;&quot;" command="SELECT * FROM [Hospital_Patient_Analytics_Dataset (5)]"/>
  </connection>
  <connection id="19" xr16:uid="{E3A50DD8-BA46-4B56-9A12-A09407553725}" keepAlive="1" name="Query - Hospital_Patient_Analytics_Dataset (6)" description="Connection to the 'Hospital_Patient_Analytics_Dataset (6)' query in the workbook." type="5" refreshedVersion="8" background="1" saveData="1">
    <dbPr connection="Provider=Microsoft.Mashup.OleDb.1;Data Source=$Workbook$;Location=&quot;Hospital_Patient_Analytics_Dataset (6)&quot;;Extended Properties=&quot;&quot;" command="SELECT * FROM [Hospital_Patient_Analytics_Dataset (6)]"/>
  </connection>
  <connection id="20" xr16:uid="{9EEA6857-A483-4B1B-8F4E-5C3E768E1540}" keepAlive="1" name="Query - Hospital_Patient_Analytics_Dataset (7)" description="Connection to the 'Hospital_Patient_Analytics_Dataset (7)' query in the workbook." type="5" refreshedVersion="8" background="1" saveData="1">
    <dbPr connection="Provider=Microsoft.Mashup.OleDb.1;Data Source=$Workbook$;Location=&quot;Hospital_Patient_Analytics_Dataset (7)&quot;;Extended Properties=&quot;&quot;" command="SELECT * FROM [Hospital_Patient_Analytics_Dataset (7)]"/>
  </connection>
  <connection id="21" xr16:uid="{2A0AA3EE-0EC1-4DF9-ACA7-39A268FB04EC}" keepAlive="1" name="Query - Hospital_Patient_Analytics_Dataset (8)" description="Connection to the 'Hospital_Patient_Analytics_Dataset (8)' query in the workbook." type="5" refreshedVersion="8" background="1" saveData="1">
    <dbPr connection="Provider=Microsoft.Mashup.OleDb.1;Data Source=$Workbook$;Location=&quot;Hospital_Patient_Analytics_Dataset (8)&quot;;Extended Properties=&quot;&quot;" command="SELECT * FROM [Hospital_Patient_Analytics_Dataset (8)]"/>
  </connection>
  <connection id="22" xr16:uid="{D74C3EC4-3838-4869-8C3D-5A2929622DAF}" keepAlive="1" name="Query - Hospital_Patient_Analytics_Dataset (9)" description="Connection to the 'Hospital_Patient_Analytics_Dataset (9)' query in the workbook." type="5" refreshedVersion="8" background="1" saveData="1">
    <dbPr connection="Provider=Microsoft.Mashup.OleDb.1;Data Source=$Workbook$;Location=&quot;Hospital_Patient_Analytics_Dataset (9)&quot;;Extended Properties=&quot;&quot;" command="SELECT * FROM [Hospital_Patient_Analytics_Dataset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<sst xmlns="http://schemas.openxmlformats.org/spreadsheetml/2006/main" count="1929" uniqueCount="184">
  <si>
    <t>Patient_ID</t>
  </si>
  <si>
    <t>Patient_Name</t>
  </si>
  <si>
    <t>Gender</t>
  </si>
  <si>
    <t>Age</t>
  </si>
  <si>
    <t>Department</t>
  </si>
  <si>
    <t>Length_of_Stay_Days</t>
  </si>
  <si>
    <t>Treatment_Cost</t>
  </si>
  <si>
    <t>Recovery_Days</t>
  </si>
  <si>
    <t>Ravi Kumar</t>
  </si>
  <si>
    <t>Male</t>
  </si>
  <si>
    <t>Cardiology</t>
  </si>
  <si>
    <t>Meena Shetty</t>
  </si>
  <si>
    <t>Female</t>
  </si>
  <si>
    <t>Orthopedics</t>
  </si>
  <si>
    <t>Suresh Rao</t>
  </si>
  <si>
    <t>Neurology</t>
  </si>
  <si>
    <t>Anita Verma</t>
  </si>
  <si>
    <t>General</t>
  </si>
  <si>
    <t>Rahul Singh</t>
  </si>
  <si>
    <t>ENT</t>
  </si>
  <si>
    <t>Priya Nair</t>
  </si>
  <si>
    <t>Gynecology</t>
  </si>
  <si>
    <t>Amit Shah</t>
  </si>
  <si>
    <t>Kavya Iyer</t>
  </si>
  <si>
    <t>Dermatology</t>
  </si>
  <si>
    <t>Vijay Patel</t>
  </si>
  <si>
    <t>Neha Gupta</t>
  </si>
  <si>
    <t>Arjun Malhotra</t>
  </si>
  <si>
    <t>Pooja Kulkarni</t>
  </si>
  <si>
    <t>Sanjay Das</t>
  </si>
  <si>
    <t>Lakshmi Menon</t>
  </si>
  <si>
    <t>Rohit Jain</t>
  </si>
  <si>
    <t>Deepa Reddy</t>
  </si>
  <si>
    <t>Manoj Mishra</t>
  </si>
  <si>
    <t>Swathi Pillai</t>
  </si>
  <si>
    <t>Kiran Bansal</t>
  </si>
  <si>
    <t>Anil Yadav</t>
  </si>
  <si>
    <t>Sneha Chatterjee</t>
  </si>
  <si>
    <t>Nikhil Arora</t>
  </si>
  <si>
    <t>Divya Joshi</t>
  </si>
  <si>
    <t>Prakash Naidu</t>
  </si>
  <si>
    <t>Isha Kapoor</t>
  </si>
  <si>
    <t>MEAN OF TREATMENT COSTS</t>
  </si>
  <si>
    <t>MEDIAN LENGTH OF STAY</t>
  </si>
  <si>
    <t>MODE OF RECOVERY DAYS</t>
  </si>
  <si>
    <t>RISK</t>
  </si>
  <si>
    <t>Capitalize Each Word</t>
  </si>
  <si>
    <t>FIRST</t>
  </si>
  <si>
    <t>MID</t>
  </si>
  <si>
    <t>LAST</t>
  </si>
  <si>
    <t>First Characters</t>
  </si>
  <si>
    <t>Last Characters</t>
  </si>
  <si>
    <t>Text Range</t>
  </si>
  <si>
    <t>Ravi</t>
  </si>
  <si>
    <t>mar</t>
  </si>
  <si>
    <t>Kum</t>
  </si>
  <si>
    <t>Meen</t>
  </si>
  <si>
    <t>tty</t>
  </si>
  <si>
    <t xml:space="preserve"> Sh</t>
  </si>
  <si>
    <t>Sure</t>
  </si>
  <si>
    <t>Rao</t>
  </si>
  <si>
    <t>h R</t>
  </si>
  <si>
    <t>Anit</t>
  </si>
  <si>
    <t>rma</t>
  </si>
  <si>
    <t xml:space="preserve"> Ve</t>
  </si>
  <si>
    <t>Rahu</t>
  </si>
  <si>
    <t>ngh</t>
  </si>
  <si>
    <t xml:space="preserve"> Si</t>
  </si>
  <si>
    <t>Priy</t>
  </si>
  <si>
    <t>air</t>
  </si>
  <si>
    <t xml:space="preserve"> Na</t>
  </si>
  <si>
    <t>Amit</t>
  </si>
  <si>
    <t>hah</t>
  </si>
  <si>
    <t>Sha</t>
  </si>
  <si>
    <t>Kavy</t>
  </si>
  <si>
    <t>yer</t>
  </si>
  <si>
    <t xml:space="preserve"> Iy</t>
  </si>
  <si>
    <t>Vija</t>
  </si>
  <si>
    <t>tel</t>
  </si>
  <si>
    <t xml:space="preserve"> Pa</t>
  </si>
  <si>
    <t>Neha</t>
  </si>
  <si>
    <t>pta</t>
  </si>
  <si>
    <t>Gup</t>
  </si>
  <si>
    <t>Arju</t>
  </si>
  <si>
    <t>tra</t>
  </si>
  <si>
    <t xml:space="preserve"> Ma</t>
  </si>
  <si>
    <t>Pooj</t>
  </si>
  <si>
    <t>rni</t>
  </si>
  <si>
    <t xml:space="preserve"> Ku</t>
  </si>
  <si>
    <t>Sanj</t>
  </si>
  <si>
    <t>Das</t>
  </si>
  <si>
    <t>y D</t>
  </si>
  <si>
    <t>Laks</t>
  </si>
  <si>
    <t>non</t>
  </si>
  <si>
    <t xml:space="preserve">mi </t>
  </si>
  <si>
    <t>Rohi</t>
  </si>
  <si>
    <t>ain</t>
  </si>
  <si>
    <t xml:space="preserve"> Ja</t>
  </si>
  <si>
    <t>Deep</t>
  </si>
  <si>
    <t>ddy</t>
  </si>
  <si>
    <t xml:space="preserve"> Re</t>
  </si>
  <si>
    <t>Mano</t>
  </si>
  <si>
    <t>hra</t>
  </si>
  <si>
    <t xml:space="preserve"> Mi</t>
  </si>
  <si>
    <t>Swat</t>
  </si>
  <si>
    <t>lai</t>
  </si>
  <si>
    <t>i P</t>
  </si>
  <si>
    <t>Kira</t>
  </si>
  <si>
    <t>sal</t>
  </si>
  <si>
    <t xml:space="preserve"> Ba</t>
  </si>
  <si>
    <t>Anil</t>
  </si>
  <si>
    <t>dav</t>
  </si>
  <si>
    <t>Yad</t>
  </si>
  <si>
    <t>Sneh</t>
  </si>
  <si>
    <t>jee</t>
  </si>
  <si>
    <t xml:space="preserve"> Ch</t>
  </si>
  <si>
    <t>Nikh</t>
  </si>
  <si>
    <t>ora</t>
  </si>
  <si>
    <t>l A</t>
  </si>
  <si>
    <t>Divy</t>
  </si>
  <si>
    <t>shi</t>
  </si>
  <si>
    <t xml:space="preserve"> Jo</t>
  </si>
  <si>
    <t>Prak</t>
  </si>
  <si>
    <t>idu</t>
  </si>
  <si>
    <t xml:space="preserve">sh </t>
  </si>
  <si>
    <t>Isha</t>
  </si>
  <si>
    <t>oor</t>
  </si>
  <si>
    <t>Kap</t>
  </si>
  <si>
    <t>UPPERCASE</t>
  </si>
  <si>
    <t>lowercase</t>
  </si>
  <si>
    <t>RAVI KUMAR</t>
  </si>
  <si>
    <t>ravi kumar</t>
  </si>
  <si>
    <t>MEENA SHETTY</t>
  </si>
  <si>
    <t>meena shetty</t>
  </si>
  <si>
    <t>SURESH RAO</t>
  </si>
  <si>
    <t>suresh rao</t>
  </si>
  <si>
    <t>ANITA VERMA</t>
  </si>
  <si>
    <t>anita verma</t>
  </si>
  <si>
    <t>RAHUL SINGH</t>
  </si>
  <si>
    <t>rahul singh</t>
  </si>
  <si>
    <t>PRIYA NAIR</t>
  </si>
  <si>
    <t>priya nair</t>
  </si>
  <si>
    <t>AMIT SHAH</t>
  </si>
  <si>
    <t>amit shah</t>
  </si>
  <si>
    <t>KAVYA IYER</t>
  </si>
  <si>
    <t>kavya iyer</t>
  </si>
  <si>
    <t>VIJAY PATEL</t>
  </si>
  <si>
    <t>vijay patel</t>
  </si>
  <si>
    <t>NEHA GUPTA</t>
  </si>
  <si>
    <t>neha gupta</t>
  </si>
  <si>
    <t>ARJUN MALHOTRA</t>
  </si>
  <si>
    <t>arjun malhotra</t>
  </si>
  <si>
    <t>POOJA KULKARNI</t>
  </si>
  <si>
    <t>pooja kulkarni</t>
  </si>
  <si>
    <t>SANJAY DAS</t>
  </si>
  <si>
    <t>sanjay das</t>
  </si>
  <si>
    <t>LAKSHMI MENON</t>
  </si>
  <si>
    <t>lakshmi menon</t>
  </si>
  <si>
    <t>ROHIT JAIN</t>
  </si>
  <si>
    <t>rohit jain</t>
  </si>
  <si>
    <t>DEEPA REDDY</t>
  </si>
  <si>
    <t>deepa reddy</t>
  </si>
  <si>
    <t>MANOJ MISHRA</t>
  </si>
  <si>
    <t>manoj mishra</t>
  </si>
  <si>
    <t>SWATHI PILLAI</t>
  </si>
  <si>
    <t>swathi pillai</t>
  </si>
  <si>
    <t>KIRAN BANSAL</t>
  </si>
  <si>
    <t>kiran bansal</t>
  </si>
  <si>
    <t>ANIL YADAV</t>
  </si>
  <si>
    <t>anil yadav</t>
  </si>
  <si>
    <t>SNEHA CHATTERJEE</t>
  </si>
  <si>
    <t>sneha chatterjee</t>
  </si>
  <si>
    <t>NIKHIL ARORA</t>
  </si>
  <si>
    <t>nikhil arora</t>
  </si>
  <si>
    <t>DIVYA JOSHI</t>
  </si>
  <si>
    <t>divya joshi</t>
  </si>
  <si>
    <t>PRAKASH NAIDU</t>
  </si>
  <si>
    <t>prakash naidu</t>
  </si>
  <si>
    <t>ISHA KAPOOR</t>
  </si>
  <si>
    <t>isha kapoor</t>
  </si>
  <si>
    <t>UPPER</t>
  </si>
  <si>
    <t>LOWER</t>
  </si>
  <si>
    <t>average cost per dept</t>
  </si>
  <si>
    <t>count patients per 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</si>
</sst>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3" borderId="1" xfId="0" applyFont="1" applyFill="1" applyBorder="1"/>
    <xf numFmtId="0" fontId="0" fillId="2" borderId="1" xfId="0" applyFill="1" applyBorder="1"/>
    <xf numFmtId="0" fontId="0" fillId="0" borderId="1" xfId="0" applyBorder="1"/>
    <xf numFmtId="2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</cellXfs>
  <cellStyles count="1">
    <cellStyle name="Normal" xfId="0" builtinId="0"/>
  </cellStyles>
  <dxfs count="103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30291D-04C8-47E4-9CA2-F224AA0D724A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38AFF512-53AE-4DA6-A574-139861A333B0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3E4AEFF2-096D-4239-9AE1-61C0C116B1D1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729A9BD1-6CE5-425F-956F-6E2A77A9C54B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177C75D3-2EF2-4F19-B4BC-421486040C80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AA90D8F2-F833-47BC-A829-E0FF041F34B0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751406E0-B7BE-4832-8E6E-627A35017715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2E65B00F-E1E4-4B33-AABA-F0A4A36BCF9D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B77459C6-C6DC-4C74-8CE6-7166648A9AD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dataBound="0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7012017-A0A9-46FE-83E6-6F87C8A61584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BFABC03-8219-434D-AC9A-7D226B7F4FD5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0C3DAB9-D98A-410B-82DC-ECB31D0EDE40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60EF72D-54A7-4E23-A3B1-A1A04F4A1321}" autoFormatId="16" applyNumberFormats="0" applyBorderFormats="0" applyFontFormats="0" applyPatternFormats="0" applyAlignmentFormats="0" applyWidthHeightFormats="0">
  <queryTableRefresh nextId="10">
    <queryTableFields count="9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name="Capitalize Each Word" tableColumnId="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7C4FC86-8C71-40EE-9D67-690CD0B803A2}" autoFormatId="16" applyNumberFormats="0" applyBorderFormats="0" applyFontFormats="0" applyPatternFormats="0" applyAlignmentFormats="0" applyWidthHeightFormats="0">
  <queryTableRefresh nextId="12">
    <queryTableFields count="11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name="First Characters" tableColumnId="9"/>
      <queryTableField id="10" name="Last Characters" tableColumnId="10"/>
      <queryTableField id="11" name="Text Range" tableColumnId="1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A8D21DC-5420-4244-93D4-08DABA064918}" autoFormatId="16" applyNumberFormats="0" applyBorderFormats="0" applyFontFormats="0" applyPatternFormats="0" applyAlignmentFormats="0" applyWidthHeightFormats="0">
  <queryTableRefresh nextId="12" unboundColumnsRight="3">
    <queryTableFields count="11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7B5648D-C761-47E2-869E-98C904DD4320}" autoFormatId="16" applyNumberFormats="0" applyBorderFormats="0" applyFontFormats="0" applyPatternFormats="0" applyAlignmentFormats="0" applyWidthHeightFormats="0">
  <queryTableRefresh nextId="11">
    <queryTableFields count="10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name="UPPERCASE" tableColumnId="9"/>
      <queryTableField id="10" name="lowercase" tableColumnId="10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34D45CB0-CA86-4930-9B85-07B1D000AFDB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  <queryTableField id="9" dataBound="0" tableColumnId="9"/>
      <queryTableField id="10" dataBound="0" tableColumnId="10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9154ACA-7EDC-4283-A2CD-40BBA28DE6C5}" autoFormatId="16" applyNumberFormats="0" applyBorderFormats="0" applyFontFormats="0" applyPatternFormats="0" applyAlignmentFormats="0" applyWidthHeightFormats="0">
  <queryTableRefresh nextId="10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58B61BEC-17CA-4EDA-91C3-0973FDE83611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133DC90D-4181-400C-B855-7723AF9E62D5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1B926CD-5D55-477B-A50B-4EC4F4210BD4}" autoFormatId="16" applyNumberFormats="0" applyBorderFormats="0" applyFontFormats="0" applyPatternFormats="0" applyAlignmentFormats="0" applyWidthHeightFormats="0">
  <queryTableRefresh nextId="9">
    <queryTableFields count="8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epartment" tableColumnId="5"/>
      <queryTableField id="6" name="Length_of_Stay_Days" tableColumnId="6"/>
      <queryTableField id="7" name="Treatment_Cost" tableColumnId="7"/>
      <queryTableField id="8" name="Recovery_Day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278E1-F1E0-4C06-A009-CE89CB088C81}" name="Hospital_Patient_Analytics_Dataset" displayName="Hospital_Patient_Analytics_Dataset" ref="A1:H26" tableType="queryTable" totalsRowShown="0">
  <autoFilter ref="A1:H26" xr:uid="{568278E1-F1E0-4C06-A009-CE89CB088C81}"/>
  <tableColumns count="8">
    <tableColumn id="1" xr3:uid="{E4E2B8F0-80BD-40FD-89F2-CFCF9D767FE7}" uniqueName="1" name="Patient_ID" queryTableFieldId="1"/>
    <tableColumn id="2" xr3:uid="{19058ED3-FA74-4FF4-B87C-F8A135A9121A}" uniqueName="2" name="Patient_Name" queryTableFieldId="2" dataDxfId="102"/>
    <tableColumn id="3" xr3:uid="{BA90BE03-4D95-4CB3-AFEF-775D8E2EBAFD}" uniqueName="3" name="Gender" queryTableFieldId="3" dataDxfId="101"/>
    <tableColumn id="4" xr3:uid="{ADCD3A78-4EB8-4FCE-8BE3-A1370E7E2D2C}" uniqueName="4" name="Age" queryTableFieldId="4"/>
    <tableColumn id="5" xr3:uid="{94E1BD29-6C9C-4F89-8EBB-C647DD34B2B7}" uniqueName="5" name="Department" queryTableFieldId="5" dataDxfId="100"/>
    <tableColumn id="6" xr3:uid="{ADB990A6-7799-424D-AC43-1F580C7C0B1B}" uniqueName="6" name="Length_of_Stay_Days" queryTableFieldId="6"/>
    <tableColumn id="7" xr3:uid="{CD417387-D813-4E25-95F5-00A87EF0A1E7}" uniqueName="7" name="Treatment_Cost" queryTableFieldId="7"/>
    <tableColumn id="8" xr3:uid="{A7DD2D83-A3AE-4762-9F55-39A7E2910820}" uniqueName="8" name="Recovery_Days" queryTableField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AE9F3-8721-4745-9E4C-C259DC89A300}" name="Hospital_Patient_Analytics_Dataset__2" displayName="Hospital_Patient_Analytics_Dataset__2" ref="A1:H26" tableType="queryTable" totalsRowShown="0">
  <autoFilter ref="A1:H26" xr:uid="{C52AE9F3-8721-4745-9E4C-C259DC89A300}"/>
  <tableColumns count="8">
    <tableColumn id="1" xr3:uid="{B4B7FDFE-5187-47E2-A5DB-52EAC44225B5}" uniqueName="1" name="Patient_ID" queryTableFieldId="1"/>
    <tableColumn id="2" xr3:uid="{679CAABA-64C6-4A80-A686-EF01932A04B2}" uniqueName="2" name="Patient_Name" queryTableFieldId="2" dataDxfId="99"/>
    <tableColumn id="3" xr3:uid="{7A0A493C-C61C-4EE5-8959-F1BB410348E5}" uniqueName="3" name="Gender" queryTableFieldId="3" dataDxfId="98"/>
    <tableColumn id="4" xr3:uid="{92D164D2-DC61-488C-B792-DEE28626CEA0}" uniqueName="4" name="Age" queryTableFieldId="4"/>
    <tableColumn id="5" xr3:uid="{B7D5CFFD-4509-45DE-AD30-EC2E4EE7FCB6}" uniqueName="5" name="Department" queryTableFieldId="5" dataDxfId="97"/>
    <tableColumn id="6" xr3:uid="{05ECF8A5-912F-4AB5-98FC-7886F8E5FEA9}" uniqueName="6" name="Length_of_Stay_Days" queryTableFieldId="6"/>
    <tableColumn id="7" xr3:uid="{3EB3AF70-815A-40A7-8480-DBB1F93941A9}" uniqueName="7" name="Treatment_Cost" queryTableFieldId="7"/>
    <tableColumn id="8" xr3:uid="{A0993B6C-B5DC-4825-BC02-BE9D03A12DDB}" uniqueName="8" name="Recovery_Days" queryTableFieldId="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46A097-61E1-434D-B32A-AA223C3AE352}" name="Hospital_Patient_Analytics_Dataset__3" displayName="Hospital_Patient_Analytics_Dataset__3" ref="A1:H26" tableType="queryTable" totalsRowShown="0">
  <autoFilter ref="A1:H26" xr:uid="{6046A097-61E1-434D-B32A-AA223C3AE352}"/>
  <tableColumns count="8">
    <tableColumn id="1" xr3:uid="{D8256A6F-8A72-4C51-BF8A-73DC47E6F5A6}" uniqueName="1" name="Patient_ID" queryTableFieldId="1"/>
    <tableColumn id="2" xr3:uid="{AA9E0733-DC75-4A34-94C8-4DE241D85DC5}" uniqueName="2" name="Patient_Name" queryTableFieldId="2" dataDxfId="96"/>
    <tableColumn id="3" xr3:uid="{5264E089-FCEA-4B56-BBA1-3CD115E63FCF}" uniqueName="3" name="Gender" queryTableFieldId="3" dataDxfId="95"/>
    <tableColumn id="4" xr3:uid="{09BC822E-9D8D-47BD-8F61-5FF76126E83D}" uniqueName="4" name="Age" queryTableFieldId="4"/>
    <tableColumn id="5" xr3:uid="{B4BCFE7E-9CAD-4FC1-8660-587C5F3E5227}" uniqueName="5" name="Department" queryTableFieldId="5" dataDxfId="94"/>
    <tableColumn id="6" xr3:uid="{03A1892A-FFAB-4222-AD78-A1DD9D46CED4}" uniqueName="6" name="Length_of_Stay_Days" queryTableFieldId="6"/>
    <tableColumn id="7" xr3:uid="{76A52BF1-2719-4AE7-9983-D5BEC6EA5081}" uniqueName="7" name="Treatment_Cost" queryTableFieldId="7"/>
    <tableColumn id="8" xr3:uid="{CCFE1BFC-1C97-4738-850A-F1973A4BDDB7}" uniqueName="8" name="Recovery_Days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C05F8F-63FF-41B3-9381-78552CED6DD8}" name="Hospital_Patient_Analytics_Dataset__4" displayName="Hospital_Patient_Analytics_Dataset__4" ref="A1:H27" tableType="queryTable" totalsRowCount="1">
  <autoFilter ref="A1:H26" xr:uid="{47C05F8F-63FF-41B3-9381-78552CED6DD8}"/>
  <tableColumns count="8">
    <tableColumn id="1" xr3:uid="{3BF2FBB4-6C3A-4ED5-B5A7-021258F8BF45}" uniqueName="1" name="Patient_ID" queryTableFieldId="1"/>
    <tableColumn id="2" xr3:uid="{C1068350-72B5-4705-A153-AD015B2E7DF0}" uniqueName="2" name="Patient_Name" queryTableFieldId="2" dataDxfId="93" totalsRowDxfId="92"/>
    <tableColumn id="3" xr3:uid="{12B2B101-35CF-4E5E-869D-17AED276BD08}" uniqueName="3" name="Gender" queryTableFieldId="3" dataDxfId="91" totalsRowDxfId="90"/>
    <tableColumn id="4" xr3:uid="{24CE5EA0-DD23-4655-9979-105D9431250E}" uniqueName="4" name="Age" queryTableFieldId="4"/>
    <tableColumn id="5" xr3:uid="{983167EA-D622-46D3-95CA-026F0D9F26DC}" uniqueName="5" name="Department" queryTableFieldId="5" dataDxfId="89" totalsRowDxfId="88"/>
    <tableColumn id="6" xr3:uid="{AAC21339-8939-4B59-8304-37D5924361DD}" uniqueName="6" name="Length_of_Stay_Days" queryTableFieldId="6"/>
    <tableColumn id="7" xr3:uid="{81C09B83-6421-4895-8957-5434353F55CE}" uniqueName="7" name="Treatment_Cost" totalsRowFunction="custom" queryTableFieldId="7">
      <totalsRowFormula>SUM(Hospital_Patient_Analytics_Dataset__4[Treatment_Cost])</totalsRowFormula>
    </tableColumn>
    <tableColumn id="8" xr3:uid="{8846BEC8-F256-441F-B930-CC464E5C3101}" uniqueName="8" name="Recovery_Day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FF7BF5-04CA-457A-9AF3-BA9D1F90DD21}" name="Hospital_Patient_Analytics_Dataset__5" displayName="Hospital_Patient_Analytics_Dataset__5" ref="A1:H27" tableType="queryTable" totalsRowCount="1">
  <autoFilter ref="A1:H26" xr:uid="{22FF7BF5-04CA-457A-9AF3-BA9D1F90DD21}"/>
  <tableColumns count="8">
    <tableColumn id="1" xr3:uid="{EF7D8C8E-856D-4099-B93B-9FA47FD26C8A}" uniqueName="1" name="Patient_ID" queryTableFieldId="1"/>
    <tableColumn id="2" xr3:uid="{37ABC261-1CB8-4EFC-B780-A2AFAEA263A3}" uniqueName="2" name="Patient_Name" queryTableFieldId="2" dataDxfId="87" totalsRowDxfId="86"/>
    <tableColumn id="3" xr3:uid="{7BE71EC3-F8B1-4881-91A2-794F4F6BFF9F}" uniqueName="3" name="Gender" queryTableFieldId="3" dataDxfId="85" totalsRowDxfId="84"/>
    <tableColumn id="4" xr3:uid="{3DA2BEC0-C19B-4E94-8B71-238C1871BE8F}" uniqueName="4" name="Age" queryTableFieldId="4"/>
    <tableColumn id="5" xr3:uid="{CDC77835-81DB-427C-9CC3-E0E23399C0ED}" uniqueName="5" name="Department" queryTableFieldId="5" dataDxfId="83" totalsRowDxfId="82"/>
    <tableColumn id="6" xr3:uid="{1679613C-1552-44D0-9717-4253D9676113}" uniqueName="6" name="Length_of_Stay_Days" queryTableFieldId="6"/>
    <tableColumn id="7" xr3:uid="{C2AB9BDF-54E0-4AA0-8903-22268EEC7710}" uniqueName="7" name="Treatment_Cost" queryTableFieldId="7"/>
    <tableColumn id="8" xr3:uid="{0C2A2E7E-6B00-4E71-9A81-1CA10F49E7EB}" uniqueName="8" name="Recovery_Days" totalsRowFunction="custom" queryTableFieldId="8">
      <totalsRowFormula>MAX(H2:H26)</totalsRow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05AF76-8541-4F09-95D5-85A6B250F1C4}" name="Hospital_Patient_Analytics_Dataset__6" displayName="Hospital_Patient_Analytics_Dataset__6" ref="A1:H27" tableType="queryTable" totalsRowCount="1">
  <autoFilter ref="A1:H26" xr:uid="{7205AF76-8541-4F09-95D5-85A6B250F1C4}"/>
  <tableColumns count="8">
    <tableColumn id="1" xr3:uid="{65D3E678-A691-4401-86C2-BB589E6C82A9}" uniqueName="1" name="Patient_ID" queryTableFieldId="1"/>
    <tableColumn id="2" xr3:uid="{6C58DA4D-30D6-4830-9FC0-63EC9E5E6F63}" uniqueName="2" name="Patient_Name" queryTableFieldId="2" dataDxfId="81" totalsRowDxfId="80"/>
    <tableColumn id="3" xr3:uid="{2C19FFE3-46E8-415B-A626-2C0DE24CAC89}" uniqueName="3" name="Gender" queryTableFieldId="3" dataDxfId="79" totalsRowDxfId="78"/>
    <tableColumn id="4" xr3:uid="{2CB74219-C961-4AE6-9D37-6BAB4A8D89EA}" uniqueName="4" name="Age" queryTableFieldId="4"/>
    <tableColumn id="5" xr3:uid="{B31B80BE-38B2-44D7-AC41-049C0E5EF058}" uniqueName="5" name="Department" queryTableFieldId="5" dataDxfId="77" totalsRowDxfId="76"/>
    <tableColumn id="6" xr3:uid="{A029DBBF-ACD6-4458-BC11-D2D2FCA79699}" uniqueName="6" name="Length_of_Stay_Days" totalsRowFunction="custom" queryTableFieldId="6">
      <totalsRowFormula>MIN(Hospital_Patient_Analytics_Dataset__6[Length_of_Stay_Days])</totalsRowFormula>
    </tableColumn>
    <tableColumn id="7" xr3:uid="{DBBBE0B6-C079-4B91-9C31-62AAD6D93F30}" uniqueName="7" name="Treatment_Cost" queryTableFieldId="7"/>
    <tableColumn id="8" xr3:uid="{45872D8C-7E57-48DB-A44F-D9C060817188}" uniqueName="8" name="Recovery_Days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DD1889-1B6D-40F3-B53A-84385936FDF5}" name="Hospital_Patient_Analytics_Dataset__7" displayName="Hospital_Patient_Analytics_Dataset__7" ref="A1:H27" tableType="queryTable" totalsRowCount="1">
  <autoFilter ref="A1:H26" xr:uid="{ECDD1889-1B6D-40F3-B53A-84385936FDF5}"/>
  <tableColumns count="8">
    <tableColumn id="1" xr3:uid="{3D5281C9-8CE7-49BB-9B17-632DDC7D296E}" uniqueName="1" name="Patient_ID" totalsRowFunction="custom" queryTableFieldId="1">
      <totalsRowFormula>COUNT(Hospital_Patient_Analytics_Dataset__7[Patient_ID])</totalsRowFormula>
    </tableColumn>
    <tableColumn id="2" xr3:uid="{06F3406A-25C8-43F9-B31F-EDD113C6D0AD}" uniqueName="2" name="Patient_Name" queryTableFieldId="2" dataDxfId="75" totalsRowDxfId="74"/>
    <tableColumn id="3" xr3:uid="{2E324320-9464-4A79-A5A1-1B21828A51AD}" uniqueName="3" name="Gender" queryTableFieldId="3" dataDxfId="73" totalsRowDxfId="72"/>
    <tableColumn id="4" xr3:uid="{78A26F0B-4187-421E-810E-95C28C826372}" uniqueName="4" name="Age" queryTableFieldId="4"/>
    <tableColumn id="5" xr3:uid="{B95B8244-3EAB-4D32-8232-33B03D2B59BC}" uniqueName="5" name="Department" queryTableFieldId="5" dataDxfId="71" totalsRowDxfId="70"/>
    <tableColumn id="6" xr3:uid="{C013EB16-540E-4650-B8D0-8CBA2BA83A60}" uniqueName="6" name="Length_of_Stay_Days" queryTableFieldId="6"/>
    <tableColumn id="7" xr3:uid="{42B34057-D98C-446F-BD12-715A7D316145}" uniqueName="7" name="Treatment_Cost" queryTableFieldId="7"/>
    <tableColumn id="8" xr3:uid="{F15A16D8-5FCA-48CD-9B8F-9319FAB9ABDD}" uniqueName="8" name="Recovery_Days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DD32CB-1DBF-472D-B1F3-A651F2EE2D80}" name="Hospital_Patient_Analytics_Dataset__8" displayName="Hospital_Patient_Analytics_Dataset__8" ref="A1:H27" tableType="queryTable" totalsRowCount="1">
  <autoFilter ref="A1:H26" xr:uid="{8FDD32CB-1DBF-472D-B1F3-A651F2EE2D80}"/>
  <tableColumns count="8">
    <tableColumn id="1" xr3:uid="{BDB3E5B9-4992-4709-957C-ED47A8DBB8C7}" uniqueName="1" name="Patient_ID" queryTableFieldId="1"/>
    <tableColumn id="2" xr3:uid="{0BF3F1E6-7DEB-403D-B485-2E57ED888E2B}" uniqueName="2" name="Patient_Name" queryTableFieldId="2" dataDxfId="69" totalsRowDxfId="68"/>
    <tableColumn id="3" xr3:uid="{BB79D12E-448A-4B11-B923-E622409B8069}" uniqueName="3" name="Gender" queryTableFieldId="3" dataDxfId="67" totalsRowDxfId="66"/>
    <tableColumn id="4" xr3:uid="{9C9A5D10-1907-4B3B-8CC0-A4F70AD15102}" uniqueName="4" name="Age" queryTableFieldId="4"/>
    <tableColumn id="5" xr3:uid="{4483320C-E9A8-47D9-A3E9-F990B7C26D64}" uniqueName="5" name="Department" queryTableFieldId="5" dataDxfId="65" totalsRowDxfId="64"/>
    <tableColumn id="6" xr3:uid="{D1092135-7C41-4FF7-A7EC-09CB326A686D}" uniqueName="6" name="Length_of_Stay_Days" queryTableFieldId="6"/>
    <tableColumn id="7" xr3:uid="{0CD588F5-8D2A-4919-92C2-136B3C3EBAE1}" uniqueName="7" name="Treatment_Cost" totalsRowFunction="custom" queryTableFieldId="7">
      <totalsRowFormula>AVERAGE(Hospital_Patient_Analytics_Dataset__8[Treatment_Cost])</totalsRowFormula>
    </tableColumn>
    <tableColumn id="8" xr3:uid="{1C91CBD0-1FDC-46B1-870E-E7746532EAA9}" uniqueName="8" name="Recovery_Days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058A08C-811B-42B6-B32E-1BCA7F63118E}" name="Hospital_Patient_Analytics_Dataset__9" displayName="Hospital_Patient_Analytics_Dataset__9" ref="A1:I26" tableType="queryTable" totalsRowShown="0">
  <autoFilter ref="A1:I26" xr:uid="{F058A08C-811B-42B6-B32E-1BCA7F63118E}"/>
  <tableColumns count="9">
    <tableColumn id="1" xr3:uid="{42DB3A55-329B-486A-A205-9DB9C565B294}" uniqueName="1" name="Patient_ID" queryTableFieldId="1"/>
    <tableColumn id="2" xr3:uid="{1473649F-AD3B-4307-BD1A-024E61F7E3C2}" uniqueName="2" name="Patient_Name" queryTableFieldId="2" dataDxfId="63"/>
    <tableColumn id="3" xr3:uid="{CF89A3EE-B860-41AB-A83E-5179BF73A043}" uniqueName="3" name="Gender" queryTableFieldId="3" dataDxfId="62"/>
    <tableColumn id="4" xr3:uid="{87579F5F-4A6D-4E5D-937F-711B9AE4E9BD}" uniqueName="4" name="Age" queryTableFieldId="4"/>
    <tableColumn id="5" xr3:uid="{0EFB91A0-79F3-4859-B652-6FAB21E2B8E1}" uniqueName="5" name="Department" queryTableFieldId="5" dataDxfId="61"/>
    <tableColumn id="6" xr3:uid="{D7BECB86-2F95-4F17-9614-439952CD6123}" uniqueName="6" name="Length_of_Stay_Days" queryTableFieldId="6"/>
    <tableColumn id="7" xr3:uid="{CB720D15-387D-42DB-A82C-2C4E69451EE2}" uniqueName="7" name="Treatment_Cost" queryTableFieldId="7"/>
    <tableColumn id="8" xr3:uid="{82DA443A-57B6-4D4A-ADA8-0BC89DABB85C}" uniqueName="8" name="Recovery_Days" queryTableFieldId="8"/>
    <tableColumn id="9" xr3:uid="{FE4CB967-FFE3-4643-A632-550FB28AFDBB}" uniqueName="9" name="RISK" queryTableFieldId="9" dataDxfId="60">
      <calculatedColumnFormula>IF(F2&gt;=7,"High Risk","Low Risk")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FB0B9D9-ADD3-4793-A238-3D2C47A512CC}" name="Hospital_Patient_Analytics_Dataset__10" displayName="Hospital_Patient_Analytics_Dataset__10" ref="A1:H27" tableType="queryTable" totalsRowCount="1">
  <autoFilter ref="A1:H26" xr:uid="{BFB0B9D9-ADD3-4793-A238-3D2C47A512CC}"/>
  <tableColumns count="8">
    <tableColumn id="1" xr3:uid="{9CBCDF13-2FA7-4892-BAC7-E1805CC26A01}" uniqueName="1" name="Patient_ID" queryTableFieldId="1"/>
    <tableColumn id="2" xr3:uid="{E8E21CFF-E9CA-4AEA-8B75-9FD0F192FD98}" uniqueName="2" name="Patient_Name" queryTableFieldId="2" dataDxfId="59" totalsRowDxfId="58"/>
    <tableColumn id="3" xr3:uid="{92070BA9-9A5F-4616-AC41-E2F3BAEFF3D7}" uniqueName="3" name="Gender" queryTableFieldId="3" dataDxfId="57" totalsRowDxfId="56"/>
    <tableColumn id="4" xr3:uid="{034062E5-5103-428E-9CC4-5F5DF9BA6D09}" uniqueName="4" name="Age" queryTableFieldId="4"/>
    <tableColumn id="5" xr3:uid="{391D728B-D30B-437B-BFDE-5F542D71339C}" uniqueName="5" name="Department" queryTableFieldId="5" dataDxfId="55" totalsRowDxfId="54"/>
    <tableColumn id="6" xr3:uid="{09621B5B-0D23-4F2D-8F24-3A725A61AE67}" uniqueName="6" name="Length_of_Stay_Days" queryTableFieldId="6"/>
    <tableColumn id="7" xr3:uid="{4A887550-7FD7-4675-B59B-2A246960DCCB}" uniqueName="7" name="Treatment_Cost" totalsRowFunction="custom" queryTableFieldId="7">
      <totalsRowFormula>SUMIF(Hospital_Patient_Analytics_Dataset__10[Department],"Cardiology",Hospital_Patient_Analytics_Dataset__10[Treatment_Cost])</totalsRowFormula>
    </tableColumn>
    <tableColumn id="8" xr3:uid="{77A3707B-A171-4D13-AB79-65E9BAEA8ABE}" uniqueName="8" name="Recovery_Days" queryTableFieldId="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169836E-18BD-48C2-AF54-504C32E7B166}" name="Hospital_Patient_Analytics_Dataset__11" displayName="Hospital_Patient_Analytics_Dataset__11" ref="A1:H27" tableType="queryTable" totalsRowCount="1">
  <autoFilter ref="A1:H26" xr:uid="{8169836E-18BD-48C2-AF54-504C32E7B166}"/>
  <tableColumns count="8">
    <tableColumn id="1" xr3:uid="{9F99AC42-6B2B-4C2C-81D9-C5444C7192AF}" uniqueName="1" name="Patient_ID" queryTableFieldId="1"/>
    <tableColumn id="2" xr3:uid="{11AA6E80-C027-4BDC-84E9-F11F6089F6F2}" uniqueName="2" name="Patient_Name" queryTableFieldId="2" dataDxfId="53" totalsRowDxfId="52"/>
    <tableColumn id="3" xr3:uid="{4961C938-B23B-4044-AA5A-DA7F3CE57255}" uniqueName="3" name="Gender" queryTableFieldId="3" dataDxfId="51" totalsRowDxfId="50"/>
    <tableColumn id="4" xr3:uid="{06DB6813-F572-484C-A324-5648DFD1C6FA}" uniqueName="4" name="Age" queryTableFieldId="4"/>
    <tableColumn id="5" xr3:uid="{E977F7B5-2C37-4FAB-8A85-CA59B1B321DE}" uniqueName="5" name="Department" queryTableFieldId="5" dataDxfId="49" totalsRowDxfId="48"/>
    <tableColumn id="6" xr3:uid="{C1197096-ED80-4B31-8D99-DF9FC9E117B7}" uniqueName="6" name="Length_of_Stay_Days" totalsRowFunction="custom" queryTableFieldId="6">
      <totalsRowFormula>COUNTIF(Hospital_Patient_Analytics_Dataset__11[Length_of_Stay_Days],"&gt;=5")</totalsRowFormula>
    </tableColumn>
    <tableColumn id="7" xr3:uid="{C204EB36-EB42-4BA6-A6B1-7742932F10F0}" uniqueName="7" name="Treatment_Cost" queryTableFieldId="7"/>
    <tableColumn id="8" xr3:uid="{9A5D3B1E-DAA2-4325-8965-BD126BDCDE79}" uniqueName="8" name="Recovery_Days" queryTableField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5B715D8-2A2D-468B-85D0-248E1AC7794B}" name="Hospital_Patient_Analytics_Dataset__12" displayName="Hospital_Patient_Analytics_Dataset__12" ref="A1:H27" tableType="queryTable" totalsRowCount="1">
  <autoFilter ref="A1:H26" xr:uid="{65B715D8-2A2D-468B-85D0-248E1AC7794B}"/>
  <tableColumns count="8">
    <tableColumn id="1" xr3:uid="{AB98014B-B059-4A8C-9AD4-6972B4A2D0FA}" uniqueName="1" name="Patient_ID" queryTableFieldId="1"/>
    <tableColumn id="2" xr3:uid="{F0D269C8-B120-4E8A-80E7-D32116CF6716}" uniqueName="2" name="Patient_Name" queryTableFieldId="2" dataDxfId="47" totalsRowDxfId="46"/>
    <tableColumn id="3" xr3:uid="{D63D26AF-A228-4B19-A1B6-F2AEB231299D}" uniqueName="3" name="Gender" queryTableFieldId="3" dataDxfId="45" totalsRowDxfId="44"/>
    <tableColumn id="4" xr3:uid="{60E9EBB7-7CC9-4F3B-B4E9-5AC6F3F029AC}" uniqueName="4" name="Age" queryTableFieldId="4"/>
    <tableColumn id="5" xr3:uid="{3A59D8A0-DB72-4F71-9C00-C6ED786D14BF}" uniqueName="5" name="Department" queryTableFieldId="5" dataDxfId="43" totalsRowDxfId="42"/>
    <tableColumn id="6" xr3:uid="{D71C1ACB-A7B9-44A2-8F14-58365B75E279}" uniqueName="6" name="Length_of_Stay_Days" queryTableFieldId="6"/>
    <tableColumn id="7" xr3:uid="{51DC3204-1911-43FC-ABEF-646A18B790F2}" uniqueName="7" name="Treatment_Cost" totalsRowFunction="custom" queryTableFieldId="7">
      <totalsRowFormula>AVERAGEIF(Hospital_Patient_Analytics_Dataset__12[Gender],"Female",Hospital_Patient_Analytics_Dataset__12[Treatment_Cost])</totalsRowFormula>
    </tableColumn>
    <tableColumn id="8" xr3:uid="{75196D45-1004-4C18-BF67-16B1915AE698}" uniqueName="8" name="Recovery_Days" queryTableField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DF2A8D-1AA0-4F88-9CD2-4D1A500A34CE}" name="Hospital_Patient_Analytics_Dataset__14" displayName="Hospital_Patient_Analytics_Dataset__14" ref="A1:I26" tableType="queryTable" totalsRowShown="0">
  <autoFilter ref="A1:I26" xr:uid="{FDDF2A8D-1AA0-4F88-9CD2-4D1A500A34CE}"/>
  <tableColumns count="9">
    <tableColumn id="1" xr3:uid="{6699D6D8-F1F0-4603-B82C-2AB79595857A}" uniqueName="1" name="Patient_ID" queryTableFieldId="1"/>
    <tableColumn id="2" xr3:uid="{30DFC6A0-D7EC-4878-B9CB-62E09ACDC88F}" uniqueName="2" name="Patient_Name" queryTableFieldId="2" dataDxfId="41"/>
    <tableColumn id="3" xr3:uid="{C3C7BAA3-B51E-4A0F-84B6-7ADC79B06CC1}" uniqueName="3" name="Gender" queryTableFieldId="3" dataDxfId="40"/>
    <tableColumn id="4" xr3:uid="{8330590C-68C5-4033-80FD-3D3D63040239}" uniqueName="4" name="Age" queryTableFieldId="4"/>
    <tableColumn id="5" xr3:uid="{FA92ADA4-CA49-4A33-91D3-239A5AE604E1}" uniqueName="5" name="Department" queryTableFieldId="5" dataDxfId="39"/>
    <tableColumn id="6" xr3:uid="{917CB322-1A7B-4AF9-9E17-41100AF59C75}" uniqueName="6" name="Length_of_Stay_Days" queryTableFieldId="6"/>
    <tableColumn id="7" xr3:uid="{D6F0A55B-7601-4C6F-BFC3-E659BCEF5EA3}" uniqueName="7" name="Treatment_Cost" queryTableFieldId="7"/>
    <tableColumn id="8" xr3:uid="{C2DDB7B8-569E-42F5-A3C2-CE080549A0C8}" uniqueName="8" name="Recovery_Days" queryTableFieldId="8"/>
    <tableColumn id="9" xr3:uid="{763238A5-4980-472D-8D36-DF1D006639DA}" uniqueName="9" name="Capitalize Each Word" queryTableFieldId="9" dataDxfId="38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5E25172-E788-4CC0-9CDE-3FE4D96F794E}" name="Hospital_Patient_Analytics_Dataset__16" displayName="Hospital_Patient_Analytics_Dataset__16" ref="A1:K26" tableType="queryTable" totalsRowShown="0">
  <autoFilter ref="A1:K26" xr:uid="{25E25172-E788-4CC0-9CDE-3FE4D96F794E}"/>
  <tableColumns count="11">
    <tableColumn id="1" xr3:uid="{F114F08C-C416-4C17-8F6D-4E80ABDE66DF}" uniqueName="1" name="Patient_ID" queryTableFieldId="1"/>
    <tableColumn id="2" xr3:uid="{716C7C82-7145-4B03-9E8B-A19E47C29199}" uniqueName="2" name="Patient_Name" queryTableFieldId="2" dataDxfId="37"/>
    <tableColumn id="3" xr3:uid="{5C14741B-4B9B-4E83-B3A2-191B664A5F6D}" uniqueName="3" name="Gender" queryTableFieldId="3" dataDxfId="36"/>
    <tableColumn id="4" xr3:uid="{E29C16FD-E843-4B0A-9685-51A4F74A5C5E}" uniqueName="4" name="Age" queryTableFieldId="4"/>
    <tableColumn id="5" xr3:uid="{F350D3E4-6507-4B63-B13E-E937CAC15B30}" uniqueName="5" name="Department" queryTableFieldId="5" dataDxfId="35"/>
    <tableColumn id="6" xr3:uid="{BC46A7BF-3656-4FF5-95FB-BFE75A6B8153}" uniqueName="6" name="Length_of_Stay_Days" queryTableFieldId="6"/>
    <tableColumn id="7" xr3:uid="{11D86643-6FAE-4E87-922B-1F98E2A89B55}" uniqueName="7" name="Treatment_Cost" queryTableFieldId="7"/>
    <tableColumn id="8" xr3:uid="{5AB97F0A-AB79-4EF8-A8DB-FF3DD64B5822}" uniqueName="8" name="Recovery_Days" queryTableFieldId="8"/>
    <tableColumn id="9" xr3:uid="{907BED20-D474-4CA3-A08A-442997DC6939}" uniqueName="9" name="First Characters" queryTableFieldId="9" dataDxfId="34"/>
    <tableColumn id="10" xr3:uid="{02AED240-1180-4FDA-AAF3-4707D61878ED}" uniqueName="10" name="Last Characters" queryTableFieldId="10" dataDxfId="33"/>
    <tableColumn id="11" xr3:uid="{1672F5E1-1587-4153-BE8E-5FABA23240F3}" uniqueName="11" name="Text Range" queryTableFieldId="11" dataDxfId="32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9D45570-A016-474F-BBFA-A7DD57127CAF}" name="Hospital_Patient_Analytics_Dataset__15" displayName="Hospital_Patient_Analytics_Dataset__15" ref="A1:K26" tableType="queryTable" totalsRowShown="0">
  <autoFilter ref="A1:K26" xr:uid="{D9D45570-A016-474F-BBFA-A7DD57127CAF}"/>
  <tableColumns count="11">
    <tableColumn id="1" xr3:uid="{D82BF4F7-C6A9-4E89-ADA7-D8F6C51AB730}" uniqueName="1" name="Patient_ID" queryTableFieldId="1"/>
    <tableColumn id="2" xr3:uid="{CD6CE5A6-D679-44FF-A78C-A9E54FA76367}" uniqueName="2" name="Patient_Name" queryTableFieldId="2" dataDxfId="31"/>
    <tableColumn id="3" xr3:uid="{7849E550-383F-4058-B565-149BA0C17150}" uniqueName="3" name="Gender" queryTableFieldId="3" dataDxfId="30"/>
    <tableColumn id="4" xr3:uid="{30BE6210-E977-4D9A-9B21-4351F9FA2038}" uniqueName="4" name="Age" queryTableFieldId="4"/>
    <tableColumn id="5" xr3:uid="{10507B72-5251-4747-A0AA-AA4713489410}" uniqueName="5" name="Department" queryTableFieldId="5" dataDxfId="29"/>
    <tableColumn id="6" xr3:uid="{A77B185D-DE25-46B1-B8FE-EEA02802E822}" uniqueName="6" name="Length_of_Stay_Days" queryTableFieldId="6"/>
    <tableColumn id="7" xr3:uid="{4D38D2B8-3E8C-4096-8845-5DD6F880511F}" uniqueName="7" name="Treatment_Cost" queryTableFieldId="7"/>
    <tableColumn id="8" xr3:uid="{1C3A613F-ED7C-43BD-A502-C53227E9CF04}" uniqueName="8" name="Recovery_Days" queryTableFieldId="8"/>
    <tableColumn id="9" xr3:uid="{93893D3C-C598-4663-92F1-CAF1FEB7AC28}" uniqueName="9" name="FIRST" queryTableFieldId="9" dataDxfId="28">
      <calculatedColumnFormula>LEFT(Hospital_Patient_Analytics_Dataset__15[[#This Row],[Patient_Name]],4)</calculatedColumnFormula>
    </tableColumn>
    <tableColumn id="10" xr3:uid="{00003AEB-3723-4FCF-925C-2E4EEFC28C53}" uniqueName="10" name="MID" queryTableFieldId="10" dataDxfId="27">
      <calculatedColumnFormula>MID(Hospital_Patient_Analytics_Dataset__15[[#This Row],[Patient_Name]],5,3)</calculatedColumnFormula>
    </tableColumn>
    <tableColumn id="11" xr3:uid="{C741C0C5-E65D-458A-B263-E7EC56F76697}" uniqueName="11" name="LAST" queryTableFieldId="11" dataDxfId="26">
      <calculatedColumnFormula>RIGHT(Hospital_Patient_Analytics_Dataset__15[[#This Row],[Patient_Name]],3)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E43CBC9-8F43-45A7-9958-DCBD33245E10}" name="Hospital_Patient_Analytics_Dataset__17" displayName="Hospital_Patient_Analytics_Dataset__17" ref="A1:J26" tableType="queryTable" totalsRowShown="0">
  <autoFilter ref="A1:J26" xr:uid="{0E43CBC9-8F43-45A7-9958-DCBD33245E10}"/>
  <tableColumns count="10">
    <tableColumn id="1" xr3:uid="{5721CF6D-E2A6-42C7-8B91-EDA1604328B9}" uniqueName="1" name="Patient_ID" queryTableFieldId="1"/>
    <tableColumn id="2" xr3:uid="{800E28D3-C40E-4E91-9448-6E9694C5C2E9}" uniqueName="2" name="Patient_Name" queryTableFieldId="2" dataDxfId="25"/>
    <tableColumn id="3" xr3:uid="{B5A10966-9278-470F-9835-6FD8FE6CCF59}" uniqueName="3" name="Gender" queryTableFieldId="3" dataDxfId="24"/>
    <tableColumn id="4" xr3:uid="{978E52ED-B8A2-4FA9-83AB-A7D36C4770FE}" uniqueName="4" name="Age" queryTableFieldId="4"/>
    <tableColumn id="5" xr3:uid="{E035E2EA-1C13-4488-B6A5-4C8FB57F7DA1}" uniqueName="5" name="Department" queryTableFieldId="5" dataDxfId="23"/>
    <tableColumn id="6" xr3:uid="{64CED661-9E73-4477-AC12-963195DDF910}" uniqueName="6" name="Length_of_Stay_Days" queryTableFieldId="6"/>
    <tableColumn id="7" xr3:uid="{AA535F1C-B64E-4BCB-8449-4C6122D570FE}" uniqueName="7" name="Treatment_Cost" queryTableFieldId="7"/>
    <tableColumn id="8" xr3:uid="{95F7FC1B-1F1D-41E6-93B0-08A81B9633A0}" uniqueName="8" name="Recovery_Days" queryTableFieldId="8"/>
    <tableColumn id="9" xr3:uid="{164982F0-D7B1-4CBD-A19C-EF2A8923CF9E}" uniqueName="9" name="UPPERCASE" queryTableFieldId="9" dataDxfId="22"/>
    <tableColumn id="10" xr3:uid="{C43658FA-64E3-4C06-BBD7-F17B4AB1BD66}" uniqueName="10" name="lowercase" queryTableFieldId="10" dataDxfId="2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25AF7E0-15FB-4211-A0BD-94AC8CAB964C}" name="Hospital_Patient_Analytics_Dataset__18" displayName="Hospital_Patient_Analytics_Dataset__18" ref="A1:J26" tableType="queryTable" totalsRowShown="0">
  <autoFilter ref="A1:J26" xr:uid="{125AF7E0-15FB-4211-A0BD-94AC8CAB964C}"/>
  <tableColumns count="10">
    <tableColumn id="1" xr3:uid="{D6DF0717-9A35-4F1D-8255-EBE236032805}" uniqueName="1" name="Patient_ID" queryTableFieldId="1"/>
    <tableColumn id="2" xr3:uid="{45B642F1-F87B-4AD7-9562-80A0E2722051}" uniqueName="2" name="Patient_Name" queryTableFieldId="2" dataDxfId="20"/>
    <tableColumn id="3" xr3:uid="{41F0843C-DF6B-4C44-9E99-4AA7BB0BADB3}" uniqueName="3" name="Gender" queryTableFieldId="3" dataDxfId="19"/>
    <tableColumn id="4" xr3:uid="{5EB70724-3077-4098-9597-CAB230E260E5}" uniqueName="4" name="Age" queryTableFieldId="4"/>
    <tableColumn id="5" xr3:uid="{B084B118-6CC8-41BB-83B4-40233489D575}" uniqueName="5" name="Department" queryTableFieldId="5" dataDxfId="18"/>
    <tableColumn id="6" xr3:uid="{2C455DAF-6677-44FF-968B-FF5C622808F3}" uniqueName="6" name="Length_of_Stay_Days" queryTableFieldId="6"/>
    <tableColumn id="7" xr3:uid="{05064A8A-A294-49FF-9DAC-7BD838882E50}" uniqueName="7" name="Treatment_Cost" queryTableFieldId="7"/>
    <tableColumn id="8" xr3:uid="{3F3BCEC9-9AE6-4E4D-9274-7609254A68E7}" uniqueName="8" name="Recovery_Days" queryTableFieldId="8"/>
    <tableColumn id="9" xr3:uid="{C7D89C40-58CC-4264-9170-C95BB3B76ED4}" uniqueName="9" name="UPPER" queryTableFieldId="9" dataDxfId="17">
      <calculatedColumnFormula>UPPER(Hospital_Patient_Analytics_Dataset__18[[#This Row],[Patient_Name]])</calculatedColumnFormula>
    </tableColumn>
    <tableColumn id="10" xr3:uid="{730065A3-8E77-4652-8C8B-4CB5246670FB}" uniqueName="10" name="LOWER" queryTableFieldId="10" dataDxfId="16">
      <calculatedColumnFormula>LOWER(Hospital_Patient_Analytics_Dataset__18[[#This Row],[Patient_Name]])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CDC2660-6122-458C-B168-9A00868870CF}" name="Hospital_Patient_Analytics_Dataset__19" displayName="Hospital_Patient_Analytics_Dataset__19" ref="A1:H26" tableType="queryTable" totalsRowShown="0">
  <autoFilter ref="A1:H26" xr:uid="{6CDC2660-6122-458C-B168-9A00868870CF}"/>
  <sortState xmlns:xlrd2="http://schemas.microsoft.com/office/spreadsheetml/2017/richdata2" ref="A2:H26">
    <sortCondition descending="1" ref="G2:G26"/>
  </sortState>
  <tableColumns count="8">
    <tableColumn id="1" xr3:uid="{461DE36F-B0C2-4137-9493-8F193DD92BED}" uniqueName="1" name="Patient_ID" queryTableFieldId="1"/>
    <tableColumn id="2" xr3:uid="{C0D41E4E-B970-46C4-A3E7-91D156EDA247}" uniqueName="2" name="Patient_Name" queryTableFieldId="2" dataDxfId="15"/>
    <tableColumn id="3" xr3:uid="{9A8A2307-0358-434A-ADBF-A073A1DD7BEC}" uniqueName="3" name="Gender" queryTableFieldId="3" dataDxfId="14"/>
    <tableColumn id="4" xr3:uid="{044E66BC-17E3-4DE8-A49E-D6E9F0321314}" uniqueName="4" name="Age" queryTableFieldId="4"/>
    <tableColumn id="5" xr3:uid="{7CCE7E9F-6BF5-496F-859B-ED25AE3B2BA0}" uniqueName="5" name="Department" queryTableFieldId="5" dataDxfId="13"/>
    <tableColumn id="6" xr3:uid="{D8DAAF85-B9C5-4C2D-87BD-BA1CE2CFD3CA}" uniqueName="6" name="Length_of_Stay_Days" queryTableFieldId="6"/>
    <tableColumn id="7" xr3:uid="{93C5007F-3A6E-4097-A005-A9761F0DD803}" uniqueName="7" name="Treatment_Cost" queryTableFieldId="7"/>
    <tableColumn id="8" xr3:uid="{10637BA9-8F1A-4C32-9FC3-6C5A8C6A3670}" uniqueName="8" name="Recovery_Days" queryTableFieldId="8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3E1EFC2-A1A6-4996-88E6-536750EE222F}" name="Hospital_Patient_Analytics_Dataset__20" displayName="Hospital_Patient_Analytics_Dataset__20" ref="A1:H26" tableType="queryTable" totalsRowShown="0">
  <autoFilter ref="A1:H26" xr:uid="{23E1EFC2-A1A6-4996-88E6-536750EE222F}"/>
  <tableColumns count="8">
    <tableColumn id="1" xr3:uid="{B7F366D3-CBB1-461E-A878-1E3344A21CFA}" uniqueName="1" name="Patient_ID" queryTableFieldId="1"/>
    <tableColumn id="2" xr3:uid="{E8828E49-85FE-4BDD-A63F-09C79B821F43}" uniqueName="2" name="Patient_Name" queryTableFieldId="2" dataDxfId="12"/>
    <tableColumn id="3" xr3:uid="{0DA8F02C-AB06-4884-BA03-32B3AE26A0BA}" uniqueName="3" name="Gender" queryTableFieldId="3" dataDxfId="11"/>
    <tableColumn id="4" xr3:uid="{A4657059-BA60-4E4C-B9F9-53078B0B6A58}" uniqueName="4" name="Age" queryTableFieldId="4"/>
    <tableColumn id="5" xr3:uid="{3F7B825A-1BA6-4894-B776-DA81F5F29608}" uniqueName="5" name="Department" queryTableFieldId="5" dataDxfId="10"/>
    <tableColumn id="6" xr3:uid="{B5AD50C6-D478-4531-89D6-B3E961D98A93}" uniqueName="6" name="Length_of_Stay_Days" queryTableFieldId="6"/>
    <tableColumn id="7" xr3:uid="{1CF54D32-13F1-4F78-94AD-AD4ADE57F8A6}" uniqueName="7" name="Treatment_Cost" queryTableFieldId="7"/>
    <tableColumn id="8" xr3:uid="{3A675617-FAAC-4BD5-983D-BBAB6F2A113A}" uniqueName="8" name="Recovery_Days" queryTableFieldId="8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FBA1BBA-B007-48AC-9644-F5054CE753E7}" name="Hospital_Patient_Analytics_Dataset__21" displayName="Hospital_Patient_Analytics_Dataset__21" ref="A1:H26" tableType="queryTable" totalsRowShown="0">
  <autoFilter ref="A1:H26" xr:uid="{7FBA1BBA-B007-48AC-9644-F5054CE753E7}"/>
  <tableColumns count="8">
    <tableColumn id="1" xr3:uid="{89FB8BFD-0456-4858-B9F9-EC720797D2F6}" uniqueName="1" name="Patient_ID" queryTableFieldId="1"/>
    <tableColumn id="2" xr3:uid="{01EC6232-D40C-4332-868B-6049401495D1}" uniqueName="2" name="Patient_Name" queryTableFieldId="2" dataDxfId="9"/>
    <tableColumn id="3" xr3:uid="{C7BFDBF3-C9FA-4623-B33A-C993B10B08F7}" uniqueName="3" name="Gender" queryTableFieldId="3" dataDxfId="8"/>
    <tableColumn id="4" xr3:uid="{7E23ED86-1726-4D9B-A683-58E8701DB79B}" uniqueName="4" name="Age" queryTableFieldId="4"/>
    <tableColumn id="5" xr3:uid="{C224F673-4A69-47CE-8294-217B4EE0478A}" uniqueName="5" name="Department" queryTableFieldId="5" dataDxfId="7"/>
    <tableColumn id="6" xr3:uid="{C254C595-7333-4A4F-901F-599460BE5716}" uniqueName="6" name="Length_of_Stay_Days" queryTableFieldId="6"/>
    <tableColumn id="7" xr3:uid="{CC2218C2-F036-4E2A-B7DA-6B03C106AEBD}" uniqueName="7" name="Treatment_Cost" queryTableFieldId="7"/>
    <tableColumn id="8" xr3:uid="{3C5A2FE5-B331-4724-A0C7-F9A22D89974A}" uniqueName="8" name="Recovery_Days" queryTableFieldId="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A6E5EB1-7F71-4365-89F2-EBAA2256E695}" name="Hospital_Patient_Analytics_Dataset__22" displayName="Hospital_Patient_Analytics_Dataset__22" ref="A1:H27" tableType="queryTable" totalsRowCount="1">
  <autoFilter ref="A1:H26" xr:uid="{DA6E5EB1-7F71-4365-89F2-EBAA2256E695}"/>
  <tableColumns count="8">
    <tableColumn id="1" xr3:uid="{97E5460D-193A-48A2-94B3-5EA7B184E6CE}" uniqueName="1" name="Patient_ID" queryTableFieldId="1"/>
    <tableColumn id="2" xr3:uid="{02B8AF8E-74B8-4E54-BE5F-0E506BF8512C}" uniqueName="2" name="Patient_Name" queryTableFieldId="2" dataDxfId="6" totalsRowDxfId="5"/>
    <tableColumn id="3" xr3:uid="{2036D109-E32B-4BD0-9F42-8DDBBC6C458B}" uniqueName="3" name="Gender" queryTableFieldId="3" dataDxfId="4" totalsRowDxfId="3"/>
    <tableColumn id="4" xr3:uid="{182468C6-5978-4522-A0CC-F9065780E710}" uniqueName="4" name="Age" queryTableFieldId="4"/>
    <tableColumn id="5" xr3:uid="{C0338786-08D8-4035-A79A-D27ACF7081F4}" uniqueName="5" name="Department" queryTableFieldId="5" dataDxfId="2" totalsRowDxfId="1"/>
    <tableColumn id="6" xr3:uid="{42015556-21BE-4FE4-B834-C6529CDBE65D}" uniqueName="6" name="Length_of_Stay_Days" totalsRowFunction="custom" queryTableFieldId="6">
      <totalsRowFormula>COUNTIF(Hospital_Patient_Analytics_Dataset__22[Length_of_Stay_Days],"&gt;=10")</totalsRowFormula>
    </tableColumn>
    <tableColumn id="7" xr3:uid="{4DE6F26A-B101-4D38-9245-271F86C3D98C}" uniqueName="7" name="Treatment_Cost" queryTableFieldId="7"/>
    <tableColumn id="8" xr3:uid="{4C711F2E-0957-4EB9-A7E7-CB3DB9B27C96}" uniqueName="8" name="Recovery_Day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A7DE-D1C7-4CB9-B95D-C807043D90BA}">
  <dimension ref="A1:H28"/>
  <sheetViews>
    <sheetView tabSelected="1" zoomScale="90" zoomScaleNormal="90" workbookViewId="0">
      <selection activeCell="H17" sqref="H1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8" spans="1:8" x14ac:dyDescent="0.3">
      <c r="F28" t="s">
        <v>42</v>
      </c>
      <c r="G28">
        <f>AVERAGE(Hospital_Patient_Analytics_Dataset[Treatment_Cost])</f>
        <v>56080</v>
      </c>
    </row>
  </sheetData>
  <conditionalFormatting sqref="F2:F26">
    <cfRule type="cellIs" dxfId="0" priority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1998-C926-47AC-81B0-E0443D2F2987}">
  <dimension ref="A1:H28"/>
  <sheetViews>
    <sheetView topLeftCell="A4" workbookViewId="0">
      <selection activeCell="F28" sqref="F28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8" spans="1:8" x14ac:dyDescent="0.3">
      <c r="D28" t="s">
        <v>43</v>
      </c>
      <c r="F28">
        <f>MEDIAN(Hospital_Patient_Analytics_Dataset__2[Length_of_Stay_Days])</f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92F4-CA11-4AA0-A14E-D0651F23E3F5}">
  <dimension ref="A1:H31"/>
  <sheetViews>
    <sheetView zoomScale="80" zoomScaleNormal="80" workbookViewId="0">
      <selection activeCell="H28" sqref="H28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8" spans="1:8" x14ac:dyDescent="0.3">
      <c r="F28" t="s">
        <v>44</v>
      </c>
      <c r="H28" s="1" cm="1">
        <f t="array" ref="H28:H31">_xlfn.MODE.MULT(Hospital_Patient_Analytics_Dataset__3[Recovery_Days])</f>
        <v>10</v>
      </c>
    </row>
    <row r="29" spans="1:8" x14ac:dyDescent="0.3">
      <c r="H29">
        <v>18</v>
      </c>
    </row>
    <row r="30" spans="1:8" x14ac:dyDescent="0.3">
      <c r="H30">
        <v>11</v>
      </c>
    </row>
    <row r="31" spans="1:8" x14ac:dyDescent="0.3">
      <c r="H31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849D-206E-4B06-854E-994570AFE3FC}">
  <dimension ref="A1:H27"/>
  <sheetViews>
    <sheetView topLeftCell="A2" workbookViewId="0">
      <selection activeCell="G27" sqref="G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G27">
        <f>SUM(Hospital_Patient_Analytics_Dataset__4[Treatment_Cost])</f>
        <v>1402000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5822-4882-428F-A4AB-4664D9F38432}">
  <dimension ref="A1:H27"/>
  <sheetViews>
    <sheetView workbookViewId="0">
      <selection activeCell="H27" sqref="H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H27">
        <f>MAX(H2:H26)</f>
        <v>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4138-3DDA-4DA1-BB99-EB98E04D548F}">
  <dimension ref="A1:H27"/>
  <sheetViews>
    <sheetView workbookViewId="0">
      <selection activeCell="F27" sqref="F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F27">
        <f>MIN(Hospital_Patient_Analytics_Dataset__6[Length_of_Stay_Days])</f>
        <v>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6FCB-27B7-479C-BC55-332DAD842953}">
  <dimension ref="A1:H27"/>
  <sheetViews>
    <sheetView topLeftCell="A2" workbookViewId="0">
      <selection activeCell="A27" sqref="A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A27">
        <f>COUNT(Hospital_Patient_Analytics_Dataset__7[Patient_ID])</f>
        <v>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C2FC-BF0B-41A9-96B5-4D1DFDA582C9}">
  <dimension ref="A1:H27"/>
  <sheetViews>
    <sheetView topLeftCell="A2" workbookViewId="0">
      <selection activeCell="G27" sqref="G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G27">
        <f>AVERAGE(Hospital_Patient_Analytics_Dataset__8[Treatment_Cost])</f>
        <v>56080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C689-0344-4E8E-BC0F-03D3DFBECC20}">
  <dimension ref="A1:I26"/>
  <sheetViews>
    <sheetView workbookViewId="0">
      <selection activeCell="I2" sqref="I2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45</v>
      </c>
    </row>
    <row r="2" spans="1:9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tr">
        <f>IF(F2&gt;=7,"High Risk","Low Risk")</f>
        <v>High Risk</v>
      </c>
    </row>
    <row r="3" spans="1:9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tr">
        <f t="shared" ref="I3:I26" si="0">IF(F3&gt;=7,"High Risk","Low Risk")</f>
        <v>Low Risk</v>
      </c>
    </row>
    <row r="4" spans="1:9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tr">
        <f t="shared" si="0"/>
        <v>High Risk</v>
      </c>
    </row>
    <row r="5" spans="1:9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tr">
        <f t="shared" si="0"/>
        <v>Low Risk</v>
      </c>
    </row>
    <row r="6" spans="1:9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tr">
        <f t="shared" si="0"/>
        <v>Low Risk</v>
      </c>
    </row>
    <row r="7" spans="1:9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tr">
        <f t="shared" si="0"/>
        <v>Low Risk</v>
      </c>
    </row>
    <row r="8" spans="1:9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tr">
        <f t="shared" si="0"/>
        <v>High Risk</v>
      </c>
    </row>
    <row r="9" spans="1:9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tr">
        <f t="shared" si="0"/>
        <v>Low Risk</v>
      </c>
    </row>
    <row r="10" spans="1:9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tr">
        <f t="shared" si="0"/>
        <v>High Risk</v>
      </c>
    </row>
    <row r="11" spans="1:9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tr">
        <f t="shared" si="0"/>
        <v>Low Risk</v>
      </c>
    </row>
    <row r="12" spans="1:9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tr">
        <f t="shared" si="0"/>
        <v>High Risk</v>
      </c>
    </row>
    <row r="13" spans="1:9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tr">
        <f t="shared" si="0"/>
        <v>Low Risk</v>
      </c>
    </row>
    <row r="14" spans="1:9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tr">
        <f t="shared" si="0"/>
        <v>High Risk</v>
      </c>
    </row>
    <row r="15" spans="1:9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tr">
        <f t="shared" si="0"/>
        <v>High Risk</v>
      </c>
    </row>
    <row r="16" spans="1:9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tr">
        <f t="shared" si="0"/>
        <v>Low Risk</v>
      </c>
    </row>
    <row r="17" spans="1:9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tr">
        <f t="shared" si="0"/>
        <v>Low Risk</v>
      </c>
    </row>
    <row r="18" spans="1:9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tr">
        <f t="shared" si="0"/>
        <v>High Risk</v>
      </c>
    </row>
    <row r="19" spans="1:9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tr">
        <f t="shared" si="0"/>
        <v>Low Risk</v>
      </c>
    </row>
    <row r="20" spans="1:9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tr">
        <f t="shared" si="0"/>
        <v>Low Risk</v>
      </c>
    </row>
    <row r="21" spans="1:9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tr">
        <f t="shared" si="0"/>
        <v>High Risk</v>
      </c>
    </row>
    <row r="22" spans="1:9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tr">
        <f t="shared" si="0"/>
        <v>Low Risk</v>
      </c>
    </row>
    <row r="23" spans="1:9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tr">
        <f t="shared" si="0"/>
        <v>Low Risk</v>
      </c>
    </row>
    <row r="24" spans="1:9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tr">
        <f t="shared" si="0"/>
        <v>Low Risk</v>
      </c>
    </row>
    <row r="25" spans="1:9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tr">
        <f t="shared" si="0"/>
        <v>High Risk</v>
      </c>
    </row>
    <row r="26" spans="1:9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tr">
        <f t="shared" si="0"/>
        <v>Low Risk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1592-B9CB-4665-BF48-30C8C7D64EA7}">
  <dimension ref="A1:H27"/>
  <sheetViews>
    <sheetView topLeftCell="A2" workbookViewId="0">
      <selection activeCell="G27" sqref="G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G27">
        <f>SUMIF(Hospital_Patient_Analytics_Dataset__10[Department],"Cardiology",Hospital_Patient_Analytics_Dataset__10[Treatment_Cost])</f>
        <v>415000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05DD-92AA-4C0C-A3EB-0B22D56BE13D}">
  <dimension ref="A1:H27"/>
  <sheetViews>
    <sheetView workbookViewId="0">
      <selection activeCell="F27" sqref="F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F27">
        <f>COUNTIF(Hospital_Patient_Analytics_Dataset__11[Length_of_Stay_Days],"&gt;=5")</f>
        <v>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F5E4-2696-4F60-BA4D-EABC9F6AFFBE}">
  <dimension ref="A1:H27"/>
  <sheetViews>
    <sheetView topLeftCell="A3" workbookViewId="0">
      <selection activeCell="G27" sqref="G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G27">
        <f>AVERAGEIF(Hospital_Patient_Analytics_Dataset__12[Gender],"Female",Hospital_Patient_Analytics_Dataset__12[Treatment_Cost])</f>
        <v>31000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E534-14B7-41C5-AEC8-18580B492B9F}">
  <dimension ref="A1:I26"/>
  <sheetViews>
    <sheetView workbookViewId="0">
      <selection activeCell="I2" sqref="I2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  <col min="9" max="9" width="2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</v>
      </c>
    </row>
    <row r="2" spans="1:9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">
        <v>8</v>
      </c>
    </row>
    <row r="3" spans="1:9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">
        <v>11</v>
      </c>
    </row>
    <row r="4" spans="1:9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">
        <v>14</v>
      </c>
    </row>
    <row r="5" spans="1:9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">
        <v>16</v>
      </c>
    </row>
    <row r="6" spans="1:9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">
        <v>18</v>
      </c>
    </row>
    <row r="7" spans="1:9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">
        <v>20</v>
      </c>
    </row>
    <row r="8" spans="1:9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">
        <v>22</v>
      </c>
    </row>
    <row r="9" spans="1:9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">
        <v>23</v>
      </c>
    </row>
    <row r="10" spans="1:9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">
        <v>25</v>
      </c>
    </row>
    <row r="11" spans="1:9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">
        <v>26</v>
      </c>
    </row>
    <row r="12" spans="1:9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">
        <v>27</v>
      </c>
    </row>
    <row r="13" spans="1:9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">
        <v>28</v>
      </c>
    </row>
    <row r="14" spans="1:9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">
        <v>29</v>
      </c>
    </row>
    <row r="15" spans="1:9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">
        <v>30</v>
      </c>
    </row>
    <row r="16" spans="1:9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">
        <v>31</v>
      </c>
    </row>
    <row r="17" spans="1:9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">
        <v>32</v>
      </c>
    </row>
    <row r="18" spans="1:9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">
        <v>33</v>
      </c>
    </row>
    <row r="19" spans="1:9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">
        <v>34</v>
      </c>
    </row>
    <row r="20" spans="1:9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">
        <v>35</v>
      </c>
    </row>
    <row r="21" spans="1:9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">
        <v>36</v>
      </c>
    </row>
    <row r="22" spans="1:9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">
        <v>37</v>
      </c>
    </row>
    <row r="23" spans="1:9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">
        <v>38</v>
      </c>
    </row>
    <row r="24" spans="1:9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">
        <v>39</v>
      </c>
    </row>
    <row r="25" spans="1:9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">
        <v>40</v>
      </c>
    </row>
    <row r="26" spans="1:9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">
        <v>41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D221-B1EC-47AA-8D55-C8B68953E988}">
  <dimension ref="A1:K26"/>
  <sheetViews>
    <sheetView topLeftCell="A3" workbookViewId="0">
      <selection activeCell="F30" sqref="F30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9" width="16.109375" bestFit="1" customWidth="1"/>
    <col min="10" max="10" width="16" bestFit="1" customWidth="1"/>
    <col min="11" max="11" width="1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</v>
      </c>
      <c r="J1" t="s">
        <v>51</v>
      </c>
      <c r="K1" t="s">
        <v>52</v>
      </c>
    </row>
    <row r="2" spans="1:11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">
        <v>53</v>
      </c>
      <c r="J2" t="s">
        <v>54</v>
      </c>
      <c r="K2" t="s">
        <v>55</v>
      </c>
    </row>
    <row r="3" spans="1:11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">
        <v>56</v>
      </c>
      <c r="J3" t="s">
        <v>57</v>
      </c>
      <c r="K3" t="s">
        <v>58</v>
      </c>
    </row>
    <row r="4" spans="1:11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">
        <v>59</v>
      </c>
      <c r="J4" t="s">
        <v>60</v>
      </c>
      <c r="K4" t="s">
        <v>61</v>
      </c>
    </row>
    <row r="5" spans="1:11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">
        <v>62</v>
      </c>
      <c r="J5" t="s">
        <v>63</v>
      </c>
      <c r="K5" t="s">
        <v>64</v>
      </c>
    </row>
    <row r="6" spans="1:11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">
        <v>65</v>
      </c>
      <c r="J6" t="s">
        <v>66</v>
      </c>
      <c r="K6" t="s">
        <v>67</v>
      </c>
    </row>
    <row r="7" spans="1:11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">
        <v>68</v>
      </c>
      <c r="J7" t="s">
        <v>69</v>
      </c>
      <c r="K7" t="s">
        <v>70</v>
      </c>
    </row>
    <row r="8" spans="1:11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">
        <v>71</v>
      </c>
      <c r="J8" t="s">
        <v>72</v>
      </c>
      <c r="K8" t="s">
        <v>73</v>
      </c>
    </row>
    <row r="9" spans="1:11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">
        <v>74</v>
      </c>
      <c r="J9" t="s">
        <v>75</v>
      </c>
      <c r="K9" t="s">
        <v>76</v>
      </c>
    </row>
    <row r="10" spans="1:11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">
        <v>77</v>
      </c>
      <c r="J10" t="s">
        <v>78</v>
      </c>
      <c r="K10" t="s">
        <v>79</v>
      </c>
    </row>
    <row r="11" spans="1:11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">
        <v>80</v>
      </c>
      <c r="J11" t="s">
        <v>81</v>
      </c>
      <c r="K11" t="s">
        <v>82</v>
      </c>
    </row>
    <row r="12" spans="1:11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">
        <v>83</v>
      </c>
      <c r="J12" t="s">
        <v>84</v>
      </c>
      <c r="K12" t="s">
        <v>85</v>
      </c>
    </row>
    <row r="13" spans="1:11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">
        <v>86</v>
      </c>
      <c r="J13" t="s">
        <v>87</v>
      </c>
      <c r="K13" t="s">
        <v>88</v>
      </c>
    </row>
    <row r="14" spans="1:11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">
        <v>89</v>
      </c>
      <c r="J14" t="s">
        <v>90</v>
      </c>
      <c r="K14" t="s">
        <v>91</v>
      </c>
    </row>
    <row r="15" spans="1:11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">
        <v>92</v>
      </c>
      <c r="J15" t="s">
        <v>93</v>
      </c>
      <c r="K15" t="s">
        <v>94</v>
      </c>
    </row>
    <row r="16" spans="1:11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">
        <v>95</v>
      </c>
      <c r="J16" t="s">
        <v>96</v>
      </c>
      <c r="K16" t="s">
        <v>97</v>
      </c>
    </row>
    <row r="17" spans="1:11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">
        <v>98</v>
      </c>
      <c r="J17" t="s">
        <v>99</v>
      </c>
      <c r="K17" t="s">
        <v>100</v>
      </c>
    </row>
    <row r="18" spans="1:11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">
        <v>101</v>
      </c>
      <c r="J18" t="s">
        <v>102</v>
      </c>
      <c r="K18" t="s">
        <v>103</v>
      </c>
    </row>
    <row r="19" spans="1:11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">
        <v>104</v>
      </c>
      <c r="J19" t="s">
        <v>105</v>
      </c>
      <c r="K19" t="s">
        <v>106</v>
      </c>
    </row>
    <row r="20" spans="1:11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">
        <v>107</v>
      </c>
      <c r="J20" t="s">
        <v>108</v>
      </c>
      <c r="K20" t="s">
        <v>109</v>
      </c>
    </row>
    <row r="21" spans="1:11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">
        <v>110</v>
      </c>
      <c r="J21" t="s">
        <v>111</v>
      </c>
      <c r="K21" t="s">
        <v>112</v>
      </c>
    </row>
    <row r="22" spans="1:11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">
        <v>113</v>
      </c>
      <c r="J22" t="s">
        <v>114</v>
      </c>
      <c r="K22" t="s">
        <v>115</v>
      </c>
    </row>
    <row r="23" spans="1:11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">
        <v>116</v>
      </c>
      <c r="J23" t="s">
        <v>117</v>
      </c>
      <c r="K23" t="s">
        <v>118</v>
      </c>
    </row>
    <row r="24" spans="1:11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">
        <v>119</v>
      </c>
      <c r="J24" t="s">
        <v>120</v>
      </c>
      <c r="K24" t="s">
        <v>121</v>
      </c>
    </row>
    <row r="25" spans="1:11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">
        <v>122</v>
      </c>
      <c r="J25" t="s">
        <v>123</v>
      </c>
      <c r="K25" t="s">
        <v>124</v>
      </c>
    </row>
    <row r="26" spans="1:11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">
        <v>125</v>
      </c>
      <c r="J26" t="s">
        <v>126</v>
      </c>
      <c r="K26" t="s">
        <v>127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5A87-132C-49A3-99B1-4CA3D280FE3C}">
  <dimension ref="A1:K26"/>
  <sheetViews>
    <sheetView workbookViewId="0">
      <selection activeCell="I2" sqref="I2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9.5546875" customWidth="1"/>
    <col min="7" max="7" width="16.77734375" bestFit="1" customWidth="1"/>
    <col min="8" max="8" width="16.109375" bestFit="1" customWidth="1"/>
    <col min="9" max="9" width="12.44140625" customWidth="1"/>
    <col min="10" max="11" width="12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47</v>
      </c>
      <c r="J1" t="s">
        <v>48</v>
      </c>
      <c r="K1" t="s">
        <v>49</v>
      </c>
    </row>
    <row r="2" spans="1:11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tr">
        <f>LEFT(Hospital_Patient_Analytics_Dataset__15[[#This Row],[Patient_Name]],4)</f>
        <v>Ravi</v>
      </c>
      <c r="J2" t="str">
        <f>MID(Hospital_Patient_Analytics_Dataset__15[[#This Row],[Patient_Name]],5,3)</f>
        <v xml:space="preserve"> Ku</v>
      </c>
      <c r="K2" t="str">
        <f>RIGHT(Hospital_Patient_Analytics_Dataset__15[[#This Row],[Patient_Name]],3)</f>
        <v>mar</v>
      </c>
    </row>
    <row r="3" spans="1:11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tr">
        <f>LEFT(Hospital_Patient_Analytics_Dataset__15[[#This Row],[Patient_Name]],4)</f>
        <v>Meen</v>
      </c>
      <c r="J3" t="str">
        <f>MID(Hospital_Patient_Analytics_Dataset__15[[#This Row],[Patient_Name]],5,3)</f>
        <v>a S</v>
      </c>
      <c r="K3" t="str">
        <f>RIGHT(Hospital_Patient_Analytics_Dataset__15[[#This Row],[Patient_Name]],3)</f>
        <v>tty</v>
      </c>
    </row>
    <row r="4" spans="1:11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tr">
        <f>LEFT(Hospital_Patient_Analytics_Dataset__15[[#This Row],[Patient_Name]],4)</f>
        <v>Sure</v>
      </c>
      <c r="J4" t="str">
        <f>MID(Hospital_Patient_Analytics_Dataset__15[[#This Row],[Patient_Name]],5,3)</f>
        <v xml:space="preserve">sh </v>
      </c>
      <c r="K4" t="str">
        <f>RIGHT(Hospital_Patient_Analytics_Dataset__15[[#This Row],[Patient_Name]],3)</f>
        <v>Rao</v>
      </c>
    </row>
    <row r="5" spans="1:11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tr">
        <f>LEFT(Hospital_Patient_Analytics_Dataset__15[[#This Row],[Patient_Name]],4)</f>
        <v>Anit</v>
      </c>
      <c r="J5" t="str">
        <f>MID(Hospital_Patient_Analytics_Dataset__15[[#This Row],[Patient_Name]],5,3)</f>
        <v>a V</v>
      </c>
      <c r="K5" t="str">
        <f>RIGHT(Hospital_Patient_Analytics_Dataset__15[[#This Row],[Patient_Name]],3)</f>
        <v>rma</v>
      </c>
    </row>
    <row r="6" spans="1:11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tr">
        <f>LEFT(Hospital_Patient_Analytics_Dataset__15[[#This Row],[Patient_Name]],4)</f>
        <v>Rahu</v>
      </c>
      <c r="J6" t="str">
        <f>MID(Hospital_Patient_Analytics_Dataset__15[[#This Row],[Patient_Name]],5,3)</f>
        <v>l S</v>
      </c>
      <c r="K6" t="str">
        <f>RIGHT(Hospital_Patient_Analytics_Dataset__15[[#This Row],[Patient_Name]],3)</f>
        <v>ngh</v>
      </c>
    </row>
    <row r="7" spans="1:11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tr">
        <f>LEFT(Hospital_Patient_Analytics_Dataset__15[[#This Row],[Patient_Name]],4)</f>
        <v>Priy</v>
      </c>
      <c r="J7" t="str">
        <f>MID(Hospital_Patient_Analytics_Dataset__15[[#This Row],[Patient_Name]],5,3)</f>
        <v>a N</v>
      </c>
      <c r="K7" t="str">
        <f>RIGHT(Hospital_Patient_Analytics_Dataset__15[[#This Row],[Patient_Name]],3)</f>
        <v>air</v>
      </c>
    </row>
    <row r="8" spans="1:11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tr">
        <f>LEFT(Hospital_Patient_Analytics_Dataset__15[[#This Row],[Patient_Name]],4)</f>
        <v>Amit</v>
      </c>
      <c r="J8" t="str">
        <f>MID(Hospital_Patient_Analytics_Dataset__15[[#This Row],[Patient_Name]],5,3)</f>
        <v xml:space="preserve"> Sh</v>
      </c>
      <c r="K8" t="str">
        <f>RIGHT(Hospital_Patient_Analytics_Dataset__15[[#This Row],[Patient_Name]],3)</f>
        <v>hah</v>
      </c>
    </row>
    <row r="9" spans="1:11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tr">
        <f>LEFT(Hospital_Patient_Analytics_Dataset__15[[#This Row],[Patient_Name]],4)</f>
        <v>Kavy</v>
      </c>
      <c r="J9" t="str">
        <f>MID(Hospital_Patient_Analytics_Dataset__15[[#This Row],[Patient_Name]],5,3)</f>
        <v>a I</v>
      </c>
      <c r="K9" t="str">
        <f>RIGHT(Hospital_Patient_Analytics_Dataset__15[[#This Row],[Patient_Name]],3)</f>
        <v>yer</v>
      </c>
    </row>
    <row r="10" spans="1:11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tr">
        <f>LEFT(Hospital_Patient_Analytics_Dataset__15[[#This Row],[Patient_Name]],4)</f>
        <v>Vija</v>
      </c>
      <c r="J10" t="str">
        <f>MID(Hospital_Patient_Analytics_Dataset__15[[#This Row],[Patient_Name]],5,3)</f>
        <v>y P</v>
      </c>
      <c r="K10" t="str">
        <f>RIGHT(Hospital_Patient_Analytics_Dataset__15[[#This Row],[Patient_Name]],3)</f>
        <v>tel</v>
      </c>
    </row>
    <row r="11" spans="1:11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tr">
        <f>LEFT(Hospital_Patient_Analytics_Dataset__15[[#This Row],[Patient_Name]],4)</f>
        <v>Neha</v>
      </c>
      <c r="J11" t="str">
        <f>MID(Hospital_Patient_Analytics_Dataset__15[[#This Row],[Patient_Name]],5,3)</f>
        <v xml:space="preserve"> Gu</v>
      </c>
      <c r="K11" t="str">
        <f>RIGHT(Hospital_Patient_Analytics_Dataset__15[[#This Row],[Patient_Name]],3)</f>
        <v>pta</v>
      </c>
    </row>
    <row r="12" spans="1:11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tr">
        <f>LEFT(Hospital_Patient_Analytics_Dataset__15[[#This Row],[Patient_Name]],4)</f>
        <v>Arju</v>
      </c>
      <c r="J12" t="str">
        <f>MID(Hospital_Patient_Analytics_Dataset__15[[#This Row],[Patient_Name]],5,3)</f>
        <v>n M</v>
      </c>
      <c r="K12" t="str">
        <f>RIGHT(Hospital_Patient_Analytics_Dataset__15[[#This Row],[Patient_Name]],3)</f>
        <v>tra</v>
      </c>
    </row>
    <row r="13" spans="1:11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tr">
        <f>LEFT(Hospital_Patient_Analytics_Dataset__15[[#This Row],[Patient_Name]],4)</f>
        <v>Pooj</v>
      </c>
      <c r="J13" t="str">
        <f>MID(Hospital_Patient_Analytics_Dataset__15[[#This Row],[Patient_Name]],5,3)</f>
        <v>a K</v>
      </c>
      <c r="K13" t="str">
        <f>RIGHT(Hospital_Patient_Analytics_Dataset__15[[#This Row],[Patient_Name]],3)</f>
        <v>rni</v>
      </c>
    </row>
    <row r="14" spans="1:11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tr">
        <f>LEFT(Hospital_Patient_Analytics_Dataset__15[[#This Row],[Patient_Name]],4)</f>
        <v>Sanj</v>
      </c>
      <c r="J14" t="str">
        <f>MID(Hospital_Patient_Analytics_Dataset__15[[#This Row],[Patient_Name]],5,3)</f>
        <v xml:space="preserve">ay </v>
      </c>
      <c r="K14" t="str">
        <f>RIGHT(Hospital_Patient_Analytics_Dataset__15[[#This Row],[Patient_Name]],3)</f>
        <v>Das</v>
      </c>
    </row>
    <row r="15" spans="1:11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tr">
        <f>LEFT(Hospital_Patient_Analytics_Dataset__15[[#This Row],[Patient_Name]],4)</f>
        <v>Laks</v>
      </c>
      <c r="J15" t="str">
        <f>MID(Hospital_Patient_Analytics_Dataset__15[[#This Row],[Patient_Name]],5,3)</f>
        <v>hmi</v>
      </c>
      <c r="K15" t="str">
        <f>RIGHT(Hospital_Patient_Analytics_Dataset__15[[#This Row],[Patient_Name]],3)</f>
        <v>non</v>
      </c>
    </row>
    <row r="16" spans="1:11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tr">
        <f>LEFT(Hospital_Patient_Analytics_Dataset__15[[#This Row],[Patient_Name]],4)</f>
        <v>Rohi</v>
      </c>
      <c r="J16" t="str">
        <f>MID(Hospital_Patient_Analytics_Dataset__15[[#This Row],[Patient_Name]],5,3)</f>
        <v>t J</v>
      </c>
      <c r="K16" t="str">
        <f>RIGHT(Hospital_Patient_Analytics_Dataset__15[[#This Row],[Patient_Name]],3)</f>
        <v>ain</v>
      </c>
    </row>
    <row r="17" spans="1:11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tr">
        <f>LEFT(Hospital_Patient_Analytics_Dataset__15[[#This Row],[Patient_Name]],4)</f>
        <v>Deep</v>
      </c>
      <c r="J17" t="str">
        <f>MID(Hospital_Patient_Analytics_Dataset__15[[#This Row],[Patient_Name]],5,3)</f>
        <v>a R</v>
      </c>
      <c r="K17" t="str">
        <f>RIGHT(Hospital_Patient_Analytics_Dataset__15[[#This Row],[Patient_Name]],3)</f>
        <v>ddy</v>
      </c>
    </row>
    <row r="18" spans="1:11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tr">
        <f>LEFT(Hospital_Patient_Analytics_Dataset__15[[#This Row],[Patient_Name]],4)</f>
        <v>Mano</v>
      </c>
      <c r="J18" t="str">
        <f>MID(Hospital_Patient_Analytics_Dataset__15[[#This Row],[Patient_Name]],5,3)</f>
        <v>j M</v>
      </c>
      <c r="K18" t="str">
        <f>RIGHT(Hospital_Patient_Analytics_Dataset__15[[#This Row],[Patient_Name]],3)</f>
        <v>hra</v>
      </c>
    </row>
    <row r="19" spans="1:11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tr">
        <f>LEFT(Hospital_Patient_Analytics_Dataset__15[[#This Row],[Patient_Name]],4)</f>
        <v>Swat</v>
      </c>
      <c r="J19" t="str">
        <f>MID(Hospital_Patient_Analytics_Dataset__15[[#This Row],[Patient_Name]],5,3)</f>
        <v xml:space="preserve">hi </v>
      </c>
      <c r="K19" t="str">
        <f>RIGHT(Hospital_Patient_Analytics_Dataset__15[[#This Row],[Patient_Name]],3)</f>
        <v>lai</v>
      </c>
    </row>
    <row r="20" spans="1:11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tr">
        <f>LEFT(Hospital_Patient_Analytics_Dataset__15[[#This Row],[Patient_Name]],4)</f>
        <v>Kira</v>
      </c>
      <c r="J20" t="str">
        <f>MID(Hospital_Patient_Analytics_Dataset__15[[#This Row],[Patient_Name]],5,3)</f>
        <v>n B</v>
      </c>
      <c r="K20" t="str">
        <f>RIGHT(Hospital_Patient_Analytics_Dataset__15[[#This Row],[Patient_Name]],3)</f>
        <v>sal</v>
      </c>
    </row>
    <row r="21" spans="1:11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tr">
        <f>LEFT(Hospital_Patient_Analytics_Dataset__15[[#This Row],[Patient_Name]],4)</f>
        <v>Anil</v>
      </c>
      <c r="J21" t="str">
        <f>MID(Hospital_Patient_Analytics_Dataset__15[[#This Row],[Patient_Name]],5,3)</f>
        <v xml:space="preserve"> Ya</v>
      </c>
      <c r="K21" t="str">
        <f>RIGHT(Hospital_Patient_Analytics_Dataset__15[[#This Row],[Patient_Name]],3)</f>
        <v>dav</v>
      </c>
    </row>
    <row r="22" spans="1:11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tr">
        <f>LEFT(Hospital_Patient_Analytics_Dataset__15[[#This Row],[Patient_Name]],4)</f>
        <v>Sneh</v>
      </c>
      <c r="J22" t="str">
        <f>MID(Hospital_Patient_Analytics_Dataset__15[[#This Row],[Patient_Name]],5,3)</f>
        <v>a C</v>
      </c>
      <c r="K22" t="str">
        <f>RIGHT(Hospital_Patient_Analytics_Dataset__15[[#This Row],[Patient_Name]],3)</f>
        <v>jee</v>
      </c>
    </row>
    <row r="23" spans="1:11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tr">
        <f>LEFT(Hospital_Patient_Analytics_Dataset__15[[#This Row],[Patient_Name]],4)</f>
        <v>Nikh</v>
      </c>
      <c r="J23" t="str">
        <f>MID(Hospital_Patient_Analytics_Dataset__15[[#This Row],[Patient_Name]],5,3)</f>
        <v xml:space="preserve">il </v>
      </c>
      <c r="K23" t="str">
        <f>RIGHT(Hospital_Patient_Analytics_Dataset__15[[#This Row],[Patient_Name]],3)</f>
        <v>ora</v>
      </c>
    </row>
    <row r="24" spans="1:11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tr">
        <f>LEFT(Hospital_Patient_Analytics_Dataset__15[[#This Row],[Patient_Name]],4)</f>
        <v>Divy</v>
      </c>
      <c r="J24" t="str">
        <f>MID(Hospital_Patient_Analytics_Dataset__15[[#This Row],[Patient_Name]],5,3)</f>
        <v>a J</v>
      </c>
      <c r="K24" t="str">
        <f>RIGHT(Hospital_Patient_Analytics_Dataset__15[[#This Row],[Patient_Name]],3)</f>
        <v>shi</v>
      </c>
    </row>
    <row r="25" spans="1:11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tr">
        <f>LEFT(Hospital_Patient_Analytics_Dataset__15[[#This Row],[Patient_Name]],4)</f>
        <v>Prak</v>
      </c>
      <c r="J25" t="str">
        <f>MID(Hospital_Patient_Analytics_Dataset__15[[#This Row],[Patient_Name]],5,3)</f>
        <v>ash</v>
      </c>
      <c r="K25" t="str">
        <f>RIGHT(Hospital_Patient_Analytics_Dataset__15[[#This Row],[Patient_Name]],3)</f>
        <v>idu</v>
      </c>
    </row>
    <row r="26" spans="1:11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tr">
        <f>LEFT(Hospital_Patient_Analytics_Dataset__15[[#This Row],[Patient_Name]],4)</f>
        <v>Isha</v>
      </c>
      <c r="J26" t="str">
        <f>MID(Hospital_Patient_Analytics_Dataset__15[[#This Row],[Patient_Name]],5,3)</f>
        <v xml:space="preserve"> Ka</v>
      </c>
      <c r="K26" t="str">
        <f>RIGHT(Hospital_Patient_Analytics_Dataset__15[[#This Row],[Patient_Name]],3)</f>
        <v>oor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0D24-D3DA-4FCB-9400-56E4087B2077}">
  <dimension ref="A1:J26"/>
  <sheetViews>
    <sheetView workbookViewId="0"/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  <col min="9" max="9" width="17.4414062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128</v>
      </c>
      <c r="J1" t="s">
        <v>129</v>
      </c>
    </row>
    <row r="2" spans="1:10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">
        <v>130</v>
      </c>
      <c r="J2" t="s">
        <v>131</v>
      </c>
    </row>
    <row r="3" spans="1:10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">
        <v>132</v>
      </c>
      <c r="J3" t="s">
        <v>133</v>
      </c>
    </row>
    <row r="4" spans="1:10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">
        <v>134</v>
      </c>
      <c r="J4" t="s">
        <v>135</v>
      </c>
    </row>
    <row r="5" spans="1:10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">
        <v>136</v>
      </c>
      <c r="J5" t="s">
        <v>137</v>
      </c>
    </row>
    <row r="6" spans="1:10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">
        <v>138</v>
      </c>
      <c r="J6" t="s">
        <v>139</v>
      </c>
    </row>
    <row r="7" spans="1:10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">
        <v>140</v>
      </c>
      <c r="J7" t="s">
        <v>141</v>
      </c>
    </row>
    <row r="8" spans="1:10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">
        <v>142</v>
      </c>
      <c r="J8" t="s">
        <v>143</v>
      </c>
    </row>
    <row r="9" spans="1:10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">
        <v>144</v>
      </c>
      <c r="J9" t="s">
        <v>145</v>
      </c>
    </row>
    <row r="10" spans="1:10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">
        <v>146</v>
      </c>
      <c r="J10" t="s">
        <v>147</v>
      </c>
    </row>
    <row r="11" spans="1:10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">
        <v>148</v>
      </c>
      <c r="J11" t="s">
        <v>149</v>
      </c>
    </row>
    <row r="12" spans="1:10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">
        <v>150</v>
      </c>
      <c r="J12" t="s">
        <v>151</v>
      </c>
    </row>
    <row r="13" spans="1:10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">
        <v>152</v>
      </c>
      <c r="J13" t="s">
        <v>153</v>
      </c>
    </row>
    <row r="14" spans="1:10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">
        <v>154</v>
      </c>
      <c r="J14" t="s">
        <v>155</v>
      </c>
    </row>
    <row r="15" spans="1:10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">
        <v>156</v>
      </c>
      <c r="J15" t="s">
        <v>157</v>
      </c>
    </row>
    <row r="16" spans="1:10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">
        <v>158</v>
      </c>
      <c r="J16" t="s">
        <v>159</v>
      </c>
    </row>
    <row r="17" spans="1:10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">
        <v>160</v>
      </c>
      <c r="J17" t="s">
        <v>161</v>
      </c>
    </row>
    <row r="18" spans="1:10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">
        <v>162</v>
      </c>
      <c r="J18" t="s">
        <v>163</v>
      </c>
    </row>
    <row r="19" spans="1:10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">
        <v>164</v>
      </c>
      <c r="J19" t="s">
        <v>165</v>
      </c>
    </row>
    <row r="20" spans="1:10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">
        <v>166</v>
      </c>
      <c r="J20" t="s">
        <v>167</v>
      </c>
    </row>
    <row r="21" spans="1:10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">
        <v>168</v>
      </c>
      <c r="J21" t="s">
        <v>169</v>
      </c>
    </row>
    <row r="22" spans="1:10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">
        <v>170</v>
      </c>
      <c r="J22" t="s">
        <v>171</v>
      </c>
    </row>
    <row r="23" spans="1:10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">
        <v>172</v>
      </c>
      <c r="J23" t="s">
        <v>173</v>
      </c>
    </row>
    <row r="24" spans="1:10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">
        <v>174</v>
      </c>
      <c r="J24" t="s">
        <v>175</v>
      </c>
    </row>
    <row r="25" spans="1:10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">
        <v>176</v>
      </c>
      <c r="J25" t="s">
        <v>177</v>
      </c>
    </row>
    <row r="26" spans="1:10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">
        <v>178</v>
      </c>
      <c r="J26" t="s">
        <v>179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F4E3-344A-4399-B818-922495AC56E5}">
  <dimension ref="A1:J26"/>
  <sheetViews>
    <sheetView workbookViewId="0">
      <selection activeCell="H24" sqref="H24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  <col min="9" max="9" width="17.4414062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180</v>
      </c>
      <c r="J1" t="s">
        <v>181</v>
      </c>
    </row>
    <row r="2" spans="1:10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  <c r="I2" t="str">
        <f>UPPER(Hospital_Patient_Analytics_Dataset__18[[#This Row],[Patient_Name]])</f>
        <v>RAVI KUMAR</v>
      </c>
      <c r="J2" t="str">
        <f>LOWER(Hospital_Patient_Analytics_Dataset__18[[#This Row],[Patient_Name]])</f>
        <v>ravi kumar</v>
      </c>
    </row>
    <row r="3" spans="1:10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  <c r="I3" t="str">
        <f>UPPER(Hospital_Patient_Analytics_Dataset__18[[#This Row],[Patient_Name]])</f>
        <v>MEENA SHETTY</v>
      </c>
      <c r="J3" t="str">
        <f>LOWER(Hospital_Patient_Analytics_Dataset__18[[#This Row],[Patient_Name]])</f>
        <v>meena shetty</v>
      </c>
    </row>
    <row r="4" spans="1:10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  <c r="I4" t="str">
        <f>UPPER(Hospital_Patient_Analytics_Dataset__18[[#This Row],[Patient_Name]])</f>
        <v>SURESH RAO</v>
      </c>
      <c r="J4" t="str">
        <f>LOWER(Hospital_Patient_Analytics_Dataset__18[[#This Row],[Patient_Name]])</f>
        <v>suresh rao</v>
      </c>
    </row>
    <row r="5" spans="1:10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  <c r="I5" t="str">
        <f>UPPER(Hospital_Patient_Analytics_Dataset__18[[#This Row],[Patient_Name]])</f>
        <v>ANITA VERMA</v>
      </c>
      <c r="J5" t="str">
        <f>LOWER(Hospital_Patient_Analytics_Dataset__18[[#This Row],[Patient_Name]])</f>
        <v>anita verma</v>
      </c>
    </row>
    <row r="6" spans="1:10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  <c r="I6" t="str">
        <f>UPPER(Hospital_Patient_Analytics_Dataset__18[[#This Row],[Patient_Name]])</f>
        <v>RAHUL SINGH</v>
      </c>
      <c r="J6" t="str">
        <f>LOWER(Hospital_Patient_Analytics_Dataset__18[[#This Row],[Patient_Name]])</f>
        <v>rahul singh</v>
      </c>
    </row>
    <row r="7" spans="1:10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  <c r="I7" t="str">
        <f>UPPER(Hospital_Patient_Analytics_Dataset__18[[#This Row],[Patient_Name]])</f>
        <v>PRIYA NAIR</v>
      </c>
      <c r="J7" t="str">
        <f>LOWER(Hospital_Patient_Analytics_Dataset__18[[#This Row],[Patient_Name]])</f>
        <v>priya nair</v>
      </c>
    </row>
    <row r="8" spans="1:10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t="str">
        <f>UPPER(Hospital_Patient_Analytics_Dataset__18[[#This Row],[Patient_Name]])</f>
        <v>AMIT SHAH</v>
      </c>
      <c r="J8" t="str">
        <f>LOWER(Hospital_Patient_Analytics_Dataset__18[[#This Row],[Patient_Name]])</f>
        <v>amit shah</v>
      </c>
    </row>
    <row r="9" spans="1:10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I9" t="str">
        <f>UPPER(Hospital_Patient_Analytics_Dataset__18[[#This Row],[Patient_Name]])</f>
        <v>KAVYA IYER</v>
      </c>
      <c r="J9" t="str">
        <f>LOWER(Hospital_Patient_Analytics_Dataset__18[[#This Row],[Patient_Name]])</f>
        <v>kavya iyer</v>
      </c>
    </row>
    <row r="10" spans="1:10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I10" t="str">
        <f>UPPER(Hospital_Patient_Analytics_Dataset__18[[#This Row],[Patient_Name]])</f>
        <v>VIJAY PATEL</v>
      </c>
      <c r="J10" t="str">
        <f>LOWER(Hospital_Patient_Analytics_Dataset__18[[#This Row],[Patient_Name]])</f>
        <v>vijay patel</v>
      </c>
    </row>
    <row r="11" spans="1:10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I11" t="str">
        <f>UPPER(Hospital_Patient_Analytics_Dataset__18[[#This Row],[Patient_Name]])</f>
        <v>NEHA GUPTA</v>
      </c>
      <c r="J11" t="str">
        <f>LOWER(Hospital_Patient_Analytics_Dataset__18[[#This Row],[Patient_Name]])</f>
        <v>neha gupta</v>
      </c>
    </row>
    <row r="12" spans="1:10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I12" t="str">
        <f>UPPER(Hospital_Patient_Analytics_Dataset__18[[#This Row],[Patient_Name]])</f>
        <v>ARJUN MALHOTRA</v>
      </c>
      <c r="J12" t="str">
        <f>LOWER(Hospital_Patient_Analytics_Dataset__18[[#This Row],[Patient_Name]])</f>
        <v>arjun malhotra</v>
      </c>
    </row>
    <row r="13" spans="1:10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I13" t="str">
        <f>UPPER(Hospital_Patient_Analytics_Dataset__18[[#This Row],[Patient_Name]])</f>
        <v>POOJA KULKARNI</v>
      </c>
      <c r="J13" t="str">
        <f>LOWER(Hospital_Patient_Analytics_Dataset__18[[#This Row],[Patient_Name]])</f>
        <v>pooja kulkarni</v>
      </c>
    </row>
    <row r="14" spans="1:10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I14" t="str">
        <f>UPPER(Hospital_Patient_Analytics_Dataset__18[[#This Row],[Patient_Name]])</f>
        <v>SANJAY DAS</v>
      </c>
      <c r="J14" t="str">
        <f>LOWER(Hospital_Patient_Analytics_Dataset__18[[#This Row],[Patient_Name]])</f>
        <v>sanjay das</v>
      </c>
    </row>
    <row r="15" spans="1:10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I15" t="str">
        <f>UPPER(Hospital_Patient_Analytics_Dataset__18[[#This Row],[Patient_Name]])</f>
        <v>LAKSHMI MENON</v>
      </c>
      <c r="J15" t="str">
        <f>LOWER(Hospital_Patient_Analytics_Dataset__18[[#This Row],[Patient_Name]])</f>
        <v>lakshmi menon</v>
      </c>
    </row>
    <row r="16" spans="1:10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  <c r="I16" t="str">
        <f>UPPER(Hospital_Patient_Analytics_Dataset__18[[#This Row],[Patient_Name]])</f>
        <v>ROHIT JAIN</v>
      </c>
      <c r="J16" t="str">
        <f>LOWER(Hospital_Patient_Analytics_Dataset__18[[#This Row],[Patient_Name]])</f>
        <v>rohit jain</v>
      </c>
    </row>
    <row r="17" spans="1:10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  <c r="I17" t="str">
        <f>UPPER(Hospital_Patient_Analytics_Dataset__18[[#This Row],[Patient_Name]])</f>
        <v>DEEPA REDDY</v>
      </c>
      <c r="J17" t="str">
        <f>LOWER(Hospital_Patient_Analytics_Dataset__18[[#This Row],[Patient_Name]])</f>
        <v>deepa reddy</v>
      </c>
    </row>
    <row r="18" spans="1:10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  <c r="I18" t="str">
        <f>UPPER(Hospital_Patient_Analytics_Dataset__18[[#This Row],[Patient_Name]])</f>
        <v>MANOJ MISHRA</v>
      </c>
      <c r="J18" t="str">
        <f>LOWER(Hospital_Patient_Analytics_Dataset__18[[#This Row],[Patient_Name]])</f>
        <v>manoj mishra</v>
      </c>
    </row>
    <row r="19" spans="1:10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  <c r="I19" t="str">
        <f>UPPER(Hospital_Patient_Analytics_Dataset__18[[#This Row],[Patient_Name]])</f>
        <v>SWATHI PILLAI</v>
      </c>
      <c r="J19" t="str">
        <f>LOWER(Hospital_Patient_Analytics_Dataset__18[[#This Row],[Patient_Name]])</f>
        <v>swathi pillai</v>
      </c>
    </row>
    <row r="20" spans="1:10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  <c r="I20" t="str">
        <f>UPPER(Hospital_Patient_Analytics_Dataset__18[[#This Row],[Patient_Name]])</f>
        <v>KIRAN BANSAL</v>
      </c>
      <c r="J20" t="str">
        <f>LOWER(Hospital_Patient_Analytics_Dataset__18[[#This Row],[Patient_Name]])</f>
        <v>kiran bansal</v>
      </c>
    </row>
    <row r="21" spans="1:10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  <c r="I21" t="str">
        <f>UPPER(Hospital_Patient_Analytics_Dataset__18[[#This Row],[Patient_Name]])</f>
        <v>ANIL YADAV</v>
      </c>
      <c r="J21" t="str">
        <f>LOWER(Hospital_Patient_Analytics_Dataset__18[[#This Row],[Patient_Name]])</f>
        <v>anil yadav</v>
      </c>
    </row>
    <row r="22" spans="1:10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  <c r="I22" t="str">
        <f>UPPER(Hospital_Patient_Analytics_Dataset__18[[#This Row],[Patient_Name]])</f>
        <v>SNEHA CHATTERJEE</v>
      </c>
      <c r="J22" t="str">
        <f>LOWER(Hospital_Patient_Analytics_Dataset__18[[#This Row],[Patient_Name]])</f>
        <v>sneha chatterjee</v>
      </c>
    </row>
    <row r="23" spans="1:10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  <c r="I23" t="str">
        <f>UPPER(Hospital_Patient_Analytics_Dataset__18[[#This Row],[Patient_Name]])</f>
        <v>NIKHIL ARORA</v>
      </c>
      <c r="J23" t="str">
        <f>LOWER(Hospital_Patient_Analytics_Dataset__18[[#This Row],[Patient_Name]])</f>
        <v>nikhil arora</v>
      </c>
    </row>
    <row r="24" spans="1:10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  <c r="I24" t="str">
        <f>UPPER(Hospital_Patient_Analytics_Dataset__18[[#This Row],[Patient_Name]])</f>
        <v>DIVYA JOSHI</v>
      </c>
      <c r="J24" t="str">
        <f>LOWER(Hospital_Patient_Analytics_Dataset__18[[#This Row],[Patient_Name]])</f>
        <v>divya joshi</v>
      </c>
    </row>
    <row r="25" spans="1:10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  <c r="I25" t="str">
        <f>UPPER(Hospital_Patient_Analytics_Dataset__18[[#This Row],[Patient_Name]])</f>
        <v>PRAKASH NAIDU</v>
      </c>
      <c r="J25" t="str">
        <f>LOWER(Hospital_Patient_Analytics_Dataset__18[[#This Row],[Patient_Name]])</f>
        <v>prakash naidu</v>
      </c>
    </row>
    <row r="26" spans="1:10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  <c r="I26" t="str">
        <f>UPPER(Hospital_Patient_Analytics_Dataset__18[[#This Row],[Patient_Name]])</f>
        <v>ISHA KAPOOR</v>
      </c>
      <c r="J26" t="str">
        <f>LOWER(Hospital_Patient_Analytics_Dataset__18[[#This Row],[Patient_Name]])</f>
        <v>isha kapoor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40CC-7ECF-4EAA-842B-C515D89775B4}">
  <dimension ref="A1:H26"/>
  <sheetViews>
    <sheetView workbookViewId="0">
      <selection activeCell="H8" sqref="H8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1013</v>
      </c>
      <c r="B2" t="s">
        <v>29</v>
      </c>
      <c r="C2" t="s">
        <v>9</v>
      </c>
      <c r="D2">
        <v>55</v>
      </c>
      <c r="E2" t="s">
        <v>10</v>
      </c>
      <c r="F2">
        <v>14</v>
      </c>
      <c r="G2">
        <v>125000</v>
      </c>
      <c r="H2">
        <v>35</v>
      </c>
    </row>
    <row r="3" spans="1:8" x14ac:dyDescent="0.3">
      <c r="A3">
        <v>1020</v>
      </c>
      <c r="B3" t="s">
        <v>36</v>
      </c>
      <c r="C3" t="s">
        <v>9</v>
      </c>
      <c r="D3">
        <v>53</v>
      </c>
      <c r="E3" t="s">
        <v>10</v>
      </c>
      <c r="F3">
        <v>13</v>
      </c>
      <c r="G3">
        <v>115000</v>
      </c>
      <c r="H3">
        <v>32</v>
      </c>
    </row>
    <row r="4" spans="1:8" x14ac:dyDescent="0.3">
      <c r="A4">
        <v>1009</v>
      </c>
      <c r="B4" t="s">
        <v>25</v>
      </c>
      <c r="C4" t="s">
        <v>9</v>
      </c>
      <c r="D4">
        <v>60</v>
      </c>
      <c r="E4" t="s">
        <v>13</v>
      </c>
      <c r="F4">
        <v>12</v>
      </c>
      <c r="G4">
        <v>110000</v>
      </c>
      <c r="H4">
        <v>30</v>
      </c>
    </row>
    <row r="5" spans="1:8" x14ac:dyDescent="0.3">
      <c r="A5">
        <v>1011</v>
      </c>
      <c r="B5" t="s">
        <v>27</v>
      </c>
      <c r="C5" t="s">
        <v>9</v>
      </c>
      <c r="D5">
        <v>47</v>
      </c>
      <c r="E5" t="s">
        <v>15</v>
      </c>
      <c r="F5">
        <v>11</v>
      </c>
      <c r="G5">
        <v>105000</v>
      </c>
      <c r="H5">
        <v>27</v>
      </c>
    </row>
    <row r="6" spans="1:8" x14ac:dyDescent="0.3">
      <c r="A6">
        <v>1024</v>
      </c>
      <c r="B6" t="s">
        <v>40</v>
      </c>
      <c r="C6" t="s">
        <v>9</v>
      </c>
      <c r="D6">
        <v>58</v>
      </c>
      <c r="E6" t="s">
        <v>13</v>
      </c>
      <c r="F6">
        <v>10</v>
      </c>
      <c r="G6">
        <v>99000</v>
      </c>
      <c r="H6">
        <v>28</v>
      </c>
    </row>
    <row r="7" spans="1:8" x14ac:dyDescent="0.3">
      <c r="A7">
        <v>1003</v>
      </c>
      <c r="B7" t="s">
        <v>14</v>
      </c>
      <c r="C7" t="s">
        <v>9</v>
      </c>
      <c r="D7">
        <v>52</v>
      </c>
      <c r="E7" t="s">
        <v>15</v>
      </c>
      <c r="F7">
        <v>10</v>
      </c>
      <c r="G7">
        <v>98000</v>
      </c>
      <c r="H7">
        <v>25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1001</v>
      </c>
      <c r="B9" t="s">
        <v>8</v>
      </c>
      <c r="C9" t="s">
        <v>9</v>
      </c>
      <c r="D9">
        <v>45</v>
      </c>
      <c r="E9" t="s">
        <v>10</v>
      </c>
      <c r="F9">
        <v>8</v>
      </c>
      <c r="G9">
        <v>85000</v>
      </c>
      <c r="H9">
        <v>20</v>
      </c>
    </row>
    <row r="10" spans="1:8" x14ac:dyDescent="0.3">
      <c r="A10">
        <v>1017</v>
      </c>
      <c r="B10" t="s">
        <v>33</v>
      </c>
      <c r="C10" t="s">
        <v>9</v>
      </c>
      <c r="D10">
        <v>48</v>
      </c>
      <c r="E10" t="s">
        <v>13</v>
      </c>
      <c r="F10">
        <v>8</v>
      </c>
      <c r="G10">
        <v>76000</v>
      </c>
      <c r="H10">
        <v>21</v>
      </c>
    </row>
    <row r="11" spans="1:8" x14ac:dyDescent="0.3">
      <c r="A11">
        <v>1019</v>
      </c>
      <c r="B11" t="s">
        <v>35</v>
      </c>
      <c r="C11" t="s">
        <v>9</v>
      </c>
      <c r="D11">
        <v>42</v>
      </c>
      <c r="E11" t="s">
        <v>15</v>
      </c>
      <c r="F11">
        <v>6</v>
      </c>
      <c r="G11">
        <v>67000</v>
      </c>
      <c r="H11">
        <v>17</v>
      </c>
    </row>
    <row r="12" spans="1:8" x14ac:dyDescent="0.3">
      <c r="A12">
        <v>1014</v>
      </c>
      <c r="B12" t="s">
        <v>30</v>
      </c>
      <c r="C12" t="s">
        <v>12</v>
      </c>
      <c r="D12">
        <v>44</v>
      </c>
      <c r="E12" t="s">
        <v>21</v>
      </c>
      <c r="F12">
        <v>7</v>
      </c>
      <c r="G12">
        <v>48000</v>
      </c>
      <c r="H12">
        <v>19</v>
      </c>
    </row>
    <row r="13" spans="1:8" x14ac:dyDescent="0.3">
      <c r="A13">
        <v>1006</v>
      </c>
      <c r="B13" t="s">
        <v>20</v>
      </c>
      <c r="C13" t="s">
        <v>12</v>
      </c>
      <c r="D13">
        <v>41</v>
      </c>
      <c r="E13" t="s">
        <v>21</v>
      </c>
      <c r="F13">
        <v>6</v>
      </c>
      <c r="G13">
        <v>46000</v>
      </c>
      <c r="H13">
        <v>18</v>
      </c>
    </row>
    <row r="14" spans="1:8" x14ac:dyDescent="0.3">
      <c r="A14">
        <v>1002</v>
      </c>
      <c r="B14" t="s">
        <v>11</v>
      </c>
      <c r="C14" t="s">
        <v>12</v>
      </c>
      <c r="D14">
        <v>38</v>
      </c>
      <c r="E14" t="s">
        <v>13</v>
      </c>
      <c r="F14">
        <v>5</v>
      </c>
      <c r="G14">
        <v>42000</v>
      </c>
      <c r="H14">
        <v>15</v>
      </c>
    </row>
    <row r="15" spans="1:8" x14ac:dyDescent="0.3">
      <c r="A15">
        <v>1025</v>
      </c>
      <c r="B15" t="s">
        <v>41</v>
      </c>
      <c r="C15" t="s">
        <v>12</v>
      </c>
      <c r="D15">
        <v>33</v>
      </c>
      <c r="E15" t="s">
        <v>19</v>
      </c>
      <c r="F15">
        <v>6</v>
      </c>
      <c r="G15">
        <v>40000</v>
      </c>
      <c r="H15">
        <v>18</v>
      </c>
    </row>
    <row r="16" spans="1:8" x14ac:dyDescent="0.3">
      <c r="A16">
        <v>1012</v>
      </c>
      <c r="B16" t="s">
        <v>28</v>
      </c>
      <c r="C16" t="s">
        <v>12</v>
      </c>
      <c r="D16">
        <v>36</v>
      </c>
      <c r="E16" t="s">
        <v>19</v>
      </c>
      <c r="F16">
        <v>5</v>
      </c>
      <c r="G16">
        <v>35000</v>
      </c>
      <c r="H16">
        <v>14</v>
      </c>
    </row>
    <row r="17" spans="1:8" x14ac:dyDescent="0.3">
      <c r="A17">
        <v>1023</v>
      </c>
      <c r="B17" t="s">
        <v>39</v>
      </c>
      <c r="C17" t="s">
        <v>12</v>
      </c>
      <c r="D17">
        <v>27</v>
      </c>
      <c r="E17" t="s">
        <v>21</v>
      </c>
      <c r="F17">
        <v>4</v>
      </c>
      <c r="G17">
        <v>33000</v>
      </c>
      <c r="H17">
        <v>16</v>
      </c>
    </row>
    <row r="18" spans="1:8" x14ac:dyDescent="0.3">
      <c r="A18">
        <v>1018</v>
      </c>
      <c r="B18" t="s">
        <v>34</v>
      </c>
      <c r="C18" t="s">
        <v>12</v>
      </c>
      <c r="D18">
        <v>28</v>
      </c>
      <c r="E18" t="s">
        <v>19</v>
      </c>
      <c r="F18">
        <v>4</v>
      </c>
      <c r="G18">
        <v>30000</v>
      </c>
      <c r="H18">
        <v>13</v>
      </c>
    </row>
    <row r="19" spans="1:8" x14ac:dyDescent="0.3">
      <c r="A19">
        <v>1021</v>
      </c>
      <c r="B19" t="s">
        <v>37</v>
      </c>
      <c r="C19" t="s">
        <v>12</v>
      </c>
      <c r="D19">
        <v>35</v>
      </c>
      <c r="E19" t="s">
        <v>17</v>
      </c>
      <c r="F19">
        <v>5</v>
      </c>
      <c r="G19">
        <v>26000</v>
      </c>
      <c r="H19">
        <v>14</v>
      </c>
    </row>
    <row r="20" spans="1:8" x14ac:dyDescent="0.3">
      <c r="A20">
        <v>1005</v>
      </c>
      <c r="B20" t="s">
        <v>18</v>
      </c>
      <c r="C20" t="s">
        <v>9</v>
      </c>
      <c r="D20">
        <v>34</v>
      </c>
      <c r="E20" t="s">
        <v>19</v>
      </c>
      <c r="F20">
        <v>4</v>
      </c>
      <c r="G20">
        <v>22000</v>
      </c>
      <c r="H20">
        <v>12</v>
      </c>
    </row>
    <row r="21" spans="1:8" x14ac:dyDescent="0.3">
      <c r="A21">
        <v>1022</v>
      </c>
      <c r="B21" t="s">
        <v>38</v>
      </c>
      <c r="C21" t="s">
        <v>9</v>
      </c>
      <c r="D21">
        <v>40</v>
      </c>
      <c r="E21" t="s">
        <v>24</v>
      </c>
      <c r="F21">
        <v>3</v>
      </c>
      <c r="G21">
        <v>21000</v>
      </c>
      <c r="H21">
        <v>11</v>
      </c>
    </row>
    <row r="22" spans="1:8" x14ac:dyDescent="0.3">
      <c r="A22">
        <v>1010</v>
      </c>
      <c r="B22" t="s">
        <v>26</v>
      </c>
      <c r="C22" t="s">
        <v>12</v>
      </c>
      <c r="D22">
        <v>32</v>
      </c>
      <c r="E22" t="s">
        <v>17</v>
      </c>
      <c r="F22">
        <v>4</v>
      </c>
      <c r="G22">
        <v>20000</v>
      </c>
      <c r="H22">
        <v>11</v>
      </c>
    </row>
    <row r="23" spans="1:8" x14ac:dyDescent="0.3">
      <c r="A23">
        <v>1016</v>
      </c>
      <c r="B23" t="s">
        <v>32</v>
      </c>
      <c r="C23" t="s">
        <v>12</v>
      </c>
      <c r="D23">
        <v>31</v>
      </c>
      <c r="E23" t="s">
        <v>24</v>
      </c>
      <c r="F23">
        <v>2</v>
      </c>
      <c r="G23">
        <v>19000</v>
      </c>
      <c r="H23">
        <v>10</v>
      </c>
    </row>
    <row r="24" spans="1:8" x14ac:dyDescent="0.3">
      <c r="A24">
        <v>1008</v>
      </c>
      <c r="B24" t="s">
        <v>23</v>
      </c>
      <c r="C24" t="s">
        <v>12</v>
      </c>
      <c r="D24">
        <v>26</v>
      </c>
      <c r="E24" t="s">
        <v>24</v>
      </c>
      <c r="F24">
        <v>2</v>
      </c>
      <c r="G24">
        <v>18000</v>
      </c>
      <c r="H24">
        <v>8</v>
      </c>
    </row>
    <row r="25" spans="1:8" x14ac:dyDescent="0.3">
      <c r="A25">
        <v>1015</v>
      </c>
      <c r="B25" t="s">
        <v>31</v>
      </c>
      <c r="C25" t="s">
        <v>9</v>
      </c>
      <c r="D25">
        <v>39</v>
      </c>
      <c r="E25" t="s">
        <v>17</v>
      </c>
      <c r="F25">
        <v>3</v>
      </c>
      <c r="G25">
        <v>17000</v>
      </c>
      <c r="H25">
        <v>9</v>
      </c>
    </row>
    <row r="26" spans="1:8" x14ac:dyDescent="0.3">
      <c r="A26">
        <v>1004</v>
      </c>
      <c r="B26" t="s">
        <v>16</v>
      </c>
      <c r="C26" t="s">
        <v>12</v>
      </c>
      <c r="D26">
        <v>29</v>
      </c>
      <c r="E26" t="s">
        <v>17</v>
      </c>
      <c r="F26">
        <v>3</v>
      </c>
      <c r="G26">
        <v>15000</v>
      </c>
      <c r="H26">
        <v>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1C5F-A804-4000-A9FB-84DC2B4AC7BE}">
  <dimension ref="A1:N26"/>
  <sheetViews>
    <sheetView workbookViewId="0">
      <selection activeCell="K8" sqref="K8:L15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  <col min="9" max="9" width="3.6640625" bestFit="1" customWidth="1"/>
    <col min="10" max="10" width="2.21875" bestFit="1" customWidth="1"/>
    <col min="11" max="11" width="11.5546875" bestFit="1" customWidth="1"/>
    <col min="12" max="12" width="19.44140625" bestFit="1" customWidth="1"/>
    <col min="13" max="13" width="7.3320312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4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14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14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14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14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14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14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I8" s="6"/>
      <c r="J8" s="6" t="s">
        <v>3</v>
      </c>
      <c r="K8" s="2" t="s">
        <v>4</v>
      </c>
      <c r="L8" s="8" t="s">
        <v>182</v>
      </c>
      <c r="M8" s="6" t="s">
        <v>6</v>
      </c>
      <c r="N8" s="7" t="s">
        <v>7</v>
      </c>
    </row>
    <row r="9" spans="1:14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K9" s="3" t="s">
        <v>10</v>
      </c>
      <c r="L9">
        <f>AVERAGEIF(Hospital_Patient_Analytics_Dataset__20[Department],K9,Hospital_Patient_Analytics_Dataset__20[Treatment_Cost])</f>
        <v>103750</v>
      </c>
    </row>
    <row r="10" spans="1:14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K10" s="4" t="s">
        <v>13</v>
      </c>
      <c r="L10">
        <f>AVERAGEIF(Hospital_Patient_Analytics_Dataset__20[Department],K10,Hospital_Patient_Analytics_Dataset__20[Treatment_Cost])</f>
        <v>81750</v>
      </c>
    </row>
    <row r="11" spans="1:14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K11" s="3" t="s">
        <v>15</v>
      </c>
      <c r="L11">
        <f>AVERAGEIF(Hospital_Patient_Analytics_Dataset__20[Department],K11,Hospital_Patient_Analytics_Dataset__20[Treatment_Cost])</f>
        <v>90000</v>
      </c>
    </row>
    <row r="12" spans="1:14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K12" s="4" t="s">
        <v>17</v>
      </c>
      <c r="L12">
        <f>AVERAGEIF(Hospital_Patient_Analytics_Dataset__20[Department],K12,Hospital_Patient_Analytics_Dataset__20[Treatment_Cost])</f>
        <v>19500</v>
      </c>
    </row>
    <row r="13" spans="1:14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K13" s="3" t="s">
        <v>19</v>
      </c>
      <c r="L13">
        <f>AVERAGEIF(Hospital_Patient_Analytics_Dataset__20[Department],K13,Hospital_Patient_Analytics_Dataset__20[Treatment_Cost])</f>
        <v>31750</v>
      </c>
    </row>
    <row r="14" spans="1:14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K14" s="4" t="s">
        <v>21</v>
      </c>
      <c r="L14">
        <f>AVERAGEIF(Hospital_Patient_Analytics_Dataset__20[Department],K14,Hospital_Patient_Analytics_Dataset__20[Treatment_Cost])</f>
        <v>42333.333333333336</v>
      </c>
    </row>
    <row r="15" spans="1:14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K15" s="4" t="s">
        <v>24</v>
      </c>
      <c r="L15" s="5">
        <f>AVERAGEIF(Hospital_Patient_Analytics_Dataset__20[Department],K15,Hospital_Patient_Analytics_Dataset__20[Treatment_Cost])</f>
        <v>19333.333333333332</v>
      </c>
    </row>
    <row r="16" spans="1:14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07C8-B2A3-4931-B685-4EF482112B38}">
  <dimension ref="A1:K26"/>
  <sheetViews>
    <sheetView workbookViewId="0">
      <selection activeCell="K9" sqref="K9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  <col min="10" max="10" width="11.5546875" bestFit="1" customWidth="1"/>
    <col min="11" max="11" width="19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11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11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11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11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11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11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  <c r="J8" s="2" t="s">
        <v>4</v>
      </c>
      <c r="K8" s="8" t="s">
        <v>183</v>
      </c>
    </row>
    <row r="9" spans="1:11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  <c r="J9" s="3" t="s">
        <v>10</v>
      </c>
      <c r="K9">
        <f>COUNTIF(Hospital_Patient_Analytics_Dataset__21[Department],J9)</f>
        <v>4</v>
      </c>
    </row>
    <row r="10" spans="1:11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  <c r="J10" s="4" t="s">
        <v>13</v>
      </c>
      <c r="K10">
        <f>COUNTIF(Hospital_Patient_Analytics_Dataset__21[Department],J10)</f>
        <v>4</v>
      </c>
    </row>
    <row r="11" spans="1:11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  <c r="J11" s="3" t="s">
        <v>15</v>
      </c>
      <c r="K11">
        <f>COUNTIF(Hospital_Patient_Analytics_Dataset__21[Department],J11)</f>
        <v>3</v>
      </c>
    </row>
    <row r="12" spans="1:11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  <c r="J12" s="4" t="s">
        <v>17</v>
      </c>
      <c r="K12">
        <f>COUNTIF(Hospital_Patient_Analytics_Dataset__21[Department],J12)</f>
        <v>4</v>
      </c>
    </row>
    <row r="13" spans="1:11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  <c r="J13" s="3" t="s">
        <v>19</v>
      </c>
      <c r="K13">
        <f>COUNTIF(Hospital_Patient_Analytics_Dataset__21[Department],J13)</f>
        <v>4</v>
      </c>
    </row>
    <row r="14" spans="1:11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  <c r="J14" s="4" t="s">
        <v>21</v>
      </c>
      <c r="K14">
        <f>COUNTIF(Hospital_Patient_Analytics_Dataset__21[Department],J14)</f>
        <v>3</v>
      </c>
    </row>
    <row r="15" spans="1:11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  <c r="J15" s="4" t="s">
        <v>24</v>
      </c>
      <c r="K15">
        <f>COUNTIF(Hospital_Patient_Analytics_Dataset__21[Department],J15)</f>
        <v>3</v>
      </c>
    </row>
    <row r="16" spans="1:11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D8F2-897E-44EE-96C1-5186AEC5CE98}">
  <dimension ref="A1:H27"/>
  <sheetViews>
    <sheetView workbookViewId="0">
      <selection activeCell="F27" sqref="F27"/>
    </sheetView>
  </sheetViews>
  <sheetFormatPr defaultRowHeight="14.4" x14ac:dyDescent="0.3"/>
  <cols>
    <col min="1" max="1" width="12" bestFit="1" customWidth="1"/>
    <col min="2" max="2" width="15.33203125" bestFit="1" customWidth="1"/>
    <col min="3" max="3" width="9.33203125" bestFit="1" customWidth="1"/>
    <col min="4" max="4" width="6.44140625" bestFit="1" customWidth="1"/>
    <col min="5" max="5" width="13.33203125" bestFit="1" customWidth="1"/>
    <col min="6" max="6" width="21.6640625" bestFit="1" customWidth="1"/>
    <col min="7" max="7" width="16.777343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45</v>
      </c>
      <c r="E2" t="s">
        <v>10</v>
      </c>
      <c r="F2">
        <v>8</v>
      </c>
      <c r="G2">
        <v>85000</v>
      </c>
      <c r="H2">
        <v>20</v>
      </c>
    </row>
    <row r="3" spans="1:8" x14ac:dyDescent="0.3">
      <c r="A3">
        <v>1002</v>
      </c>
      <c r="B3" t="s">
        <v>11</v>
      </c>
      <c r="C3" t="s">
        <v>12</v>
      </c>
      <c r="D3">
        <v>38</v>
      </c>
      <c r="E3" t="s">
        <v>13</v>
      </c>
      <c r="F3">
        <v>5</v>
      </c>
      <c r="G3">
        <v>42000</v>
      </c>
      <c r="H3">
        <v>15</v>
      </c>
    </row>
    <row r="4" spans="1:8" x14ac:dyDescent="0.3">
      <c r="A4">
        <v>1003</v>
      </c>
      <c r="B4" t="s">
        <v>14</v>
      </c>
      <c r="C4" t="s">
        <v>9</v>
      </c>
      <c r="D4">
        <v>52</v>
      </c>
      <c r="E4" t="s">
        <v>15</v>
      </c>
      <c r="F4">
        <v>10</v>
      </c>
      <c r="G4">
        <v>98000</v>
      </c>
      <c r="H4">
        <v>25</v>
      </c>
    </row>
    <row r="5" spans="1:8" x14ac:dyDescent="0.3">
      <c r="A5">
        <v>1004</v>
      </c>
      <c r="B5" t="s">
        <v>16</v>
      </c>
      <c r="C5" t="s">
        <v>12</v>
      </c>
      <c r="D5">
        <v>29</v>
      </c>
      <c r="E5" t="s">
        <v>17</v>
      </c>
      <c r="F5">
        <v>3</v>
      </c>
      <c r="G5">
        <v>15000</v>
      </c>
      <c r="H5">
        <v>10</v>
      </c>
    </row>
    <row r="6" spans="1:8" x14ac:dyDescent="0.3">
      <c r="A6">
        <v>1005</v>
      </c>
      <c r="B6" t="s">
        <v>18</v>
      </c>
      <c r="C6" t="s">
        <v>9</v>
      </c>
      <c r="D6">
        <v>34</v>
      </c>
      <c r="E6" t="s">
        <v>19</v>
      </c>
      <c r="F6">
        <v>4</v>
      </c>
      <c r="G6">
        <v>22000</v>
      </c>
      <c r="H6">
        <v>12</v>
      </c>
    </row>
    <row r="7" spans="1:8" x14ac:dyDescent="0.3">
      <c r="A7">
        <v>1006</v>
      </c>
      <c r="B7" t="s">
        <v>20</v>
      </c>
      <c r="C7" t="s">
        <v>12</v>
      </c>
      <c r="D7">
        <v>41</v>
      </c>
      <c r="E7" t="s">
        <v>21</v>
      </c>
      <c r="F7">
        <v>6</v>
      </c>
      <c r="G7">
        <v>46000</v>
      </c>
      <c r="H7">
        <v>18</v>
      </c>
    </row>
    <row r="8" spans="1:8" x14ac:dyDescent="0.3">
      <c r="A8">
        <v>1007</v>
      </c>
      <c r="B8" t="s">
        <v>22</v>
      </c>
      <c r="C8" t="s">
        <v>9</v>
      </c>
      <c r="D8">
        <v>50</v>
      </c>
      <c r="E8" t="s">
        <v>10</v>
      </c>
      <c r="F8">
        <v>9</v>
      </c>
      <c r="G8">
        <v>90000</v>
      </c>
      <c r="H8">
        <v>22</v>
      </c>
    </row>
    <row r="9" spans="1:8" x14ac:dyDescent="0.3">
      <c r="A9">
        <v>1008</v>
      </c>
      <c r="B9" t="s">
        <v>23</v>
      </c>
      <c r="C9" t="s">
        <v>12</v>
      </c>
      <c r="D9">
        <v>26</v>
      </c>
      <c r="E9" t="s">
        <v>24</v>
      </c>
      <c r="F9">
        <v>2</v>
      </c>
      <c r="G9">
        <v>18000</v>
      </c>
      <c r="H9">
        <v>8</v>
      </c>
    </row>
    <row r="10" spans="1:8" x14ac:dyDescent="0.3">
      <c r="A10">
        <v>1009</v>
      </c>
      <c r="B10" t="s">
        <v>25</v>
      </c>
      <c r="C10" t="s">
        <v>9</v>
      </c>
      <c r="D10">
        <v>60</v>
      </c>
      <c r="E10" t="s">
        <v>13</v>
      </c>
      <c r="F10">
        <v>12</v>
      </c>
      <c r="G10">
        <v>110000</v>
      </c>
      <c r="H10">
        <v>30</v>
      </c>
    </row>
    <row r="11" spans="1:8" x14ac:dyDescent="0.3">
      <c r="A11">
        <v>1010</v>
      </c>
      <c r="B11" t="s">
        <v>26</v>
      </c>
      <c r="C11" t="s">
        <v>12</v>
      </c>
      <c r="D11">
        <v>32</v>
      </c>
      <c r="E11" t="s">
        <v>17</v>
      </c>
      <c r="F11">
        <v>4</v>
      </c>
      <c r="G11">
        <v>20000</v>
      </c>
      <c r="H11">
        <v>11</v>
      </c>
    </row>
    <row r="12" spans="1:8" x14ac:dyDescent="0.3">
      <c r="A12">
        <v>1011</v>
      </c>
      <c r="B12" t="s">
        <v>27</v>
      </c>
      <c r="C12" t="s">
        <v>9</v>
      </c>
      <c r="D12">
        <v>47</v>
      </c>
      <c r="E12" t="s">
        <v>15</v>
      </c>
      <c r="F12">
        <v>11</v>
      </c>
      <c r="G12">
        <v>105000</v>
      </c>
      <c r="H12">
        <v>27</v>
      </c>
    </row>
    <row r="13" spans="1:8" x14ac:dyDescent="0.3">
      <c r="A13">
        <v>1012</v>
      </c>
      <c r="B13" t="s">
        <v>28</v>
      </c>
      <c r="C13" t="s">
        <v>12</v>
      </c>
      <c r="D13">
        <v>36</v>
      </c>
      <c r="E13" t="s">
        <v>19</v>
      </c>
      <c r="F13">
        <v>5</v>
      </c>
      <c r="G13">
        <v>35000</v>
      </c>
      <c r="H13">
        <v>14</v>
      </c>
    </row>
    <row r="14" spans="1:8" x14ac:dyDescent="0.3">
      <c r="A14">
        <v>1013</v>
      </c>
      <c r="B14" t="s">
        <v>29</v>
      </c>
      <c r="C14" t="s">
        <v>9</v>
      </c>
      <c r="D14">
        <v>55</v>
      </c>
      <c r="E14" t="s">
        <v>10</v>
      </c>
      <c r="F14">
        <v>14</v>
      </c>
      <c r="G14">
        <v>125000</v>
      </c>
      <c r="H14">
        <v>35</v>
      </c>
    </row>
    <row r="15" spans="1:8" x14ac:dyDescent="0.3">
      <c r="A15">
        <v>1014</v>
      </c>
      <c r="B15" t="s">
        <v>30</v>
      </c>
      <c r="C15" t="s">
        <v>12</v>
      </c>
      <c r="D15">
        <v>44</v>
      </c>
      <c r="E15" t="s">
        <v>21</v>
      </c>
      <c r="F15">
        <v>7</v>
      </c>
      <c r="G15">
        <v>48000</v>
      </c>
      <c r="H15">
        <v>19</v>
      </c>
    </row>
    <row r="16" spans="1:8" x14ac:dyDescent="0.3">
      <c r="A16">
        <v>1015</v>
      </c>
      <c r="B16" t="s">
        <v>31</v>
      </c>
      <c r="C16" t="s">
        <v>9</v>
      </c>
      <c r="D16">
        <v>39</v>
      </c>
      <c r="E16" t="s">
        <v>17</v>
      </c>
      <c r="F16">
        <v>3</v>
      </c>
      <c r="G16">
        <v>17000</v>
      </c>
      <c r="H16">
        <v>9</v>
      </c>
    </row>
    <row r="17" spans="1:8" x14ac:dyDescent="0.3">
      <c r="A17">
        <v>1016</v>
      </c>
      <c r="B17" t="s">
        <v>32</v>
      </c>
      <c r="C17" t="s">
        <v>12</v>
      </c>
      <c r="D17">
        <v>31</v>
      </c>
      <c r="E17" t="s">
        <v>24</v>
      </c>
      <c r="F17">
        <v>2</v>
      </c>
      <c r="G17">
        <v>19000</v>
      </c>
      <c r="H17">
        <v>10</v>
      </c>
    </row>
    <row r="18" spans="1:8" x14ac:dyDescent="0.3">
      <c r="A18">
        <v>1017</v>
      </c>
      <c r="B18" t="s">
        <v>33</v>
      </c>
      <c r="C18" t="s">
        <v>9</v>
      </c>
      <c r="D18">
        <v>48</v>
      </c>
      <c r="E18" t="s">
        <v>13</v>
      </c>
      <c r="F18">
        <v>8</v>
      </c>
      <c r="G18">
        <v>76000</v>
      </c>
      <c r="H18">
        <v>21</v>
      </c>
    </row>
    <row r="19" spans="1:8" x14ac:dyDescent="0.3">
      <c r="A19">
        <v>1018</v>
      </c>
      <c r="B19" t="s">
        <v>34</v>
      </c>
      <c r="C19" t="s">
        <v>12</v>
      </c>
      <c r="D19">
        <v>28</v>
      </c>
      <c r="E19" t="s">
        <v>19</v>
      </c>
      <c r="F19">
        <v>4</v>
      </c>
      <c r="G19">
        <v>30000</v>
      </c>
      <c r="H19">
        <v>13</v>
      </c>
    </row>
    <row r="20" spans="1:8" x14ac:dyDescent="0.3">
      <c r="A20">
        <v>1019</v>
      </c>
      <c r="B20" t="s">
        <v>35</v>
      </c>
      <c r="C20" t="s">
        <v>9</v>
      </c>
      <c r="D20">
        <v>42</v>
      </c>
      <c r="E20" t="s">
        <v>15</v>
      </c>
      <c r="F20">
        <v>6</v>
      </c>
      <c r="G20">
        <v>67000</v>
      </c>
      <c r="H20">
        <v>17</v>
      </c>
    </row>
    <row r="21" spans="1:8" x14ac:dyDescent="0.3">
      <c r="A21">
        <v>1020</v>
      </c>
      <c r="B21" t="s">
        <v>36</v>
      </c>
      <c r="C21" t="s">
        <v>9</v>
      </c>
      <c r="D21">
        <v>53</v>
      </c>
      <c r="E21" t="s">
        <v>10</v>
      </c>
      <c r="F21">
        <v>13</v>
      </c>
      <c r="G21">
        <v>115000</v>
      </c>
      <c r="H21">
        <v>32</v>
      </c>
    </row>
    <row r="22" spans="1:8" x14ac:dyDescent="0.3">
      <c r="A22">
        <v>1021</v>
      </c>
      <c r="B22" t="s">
        <v>37</v>
      </c>
      <c r="C22" t="s">
        <v>12</v>
      </c>
      <c r="D22">
        <v>35</v>
      </c>
      <c r="E22" t="s">
        <v>17</v>
      </c>
      <c r="F22">
        <v>5</v>
      </c>
      <c r="G22">
        <v>26000</v>
      </c>
      <c r="H22">
        <v>14</v>
      </c>
    </row>
    <row r="23" spans="1:8" x14ac:dyDescent="0.3">
      <c r="A23">
        <v>1022</v>
      </c>
      <c r="B23" t="s">
        <v>38</v>
      </c>
      <c r="C23" t="s">
        <v>9</v>
      </c>
      <c r="D23">
        <v>40</v>
      </c>
      <c r="E23" t="s">
        <v>24</v>
      </c>
      <c r="F23">
        <v>3</v>
      </c>
      <c r="G23">
        <v>21000</v>
      </c>
      <c r="H23">
        <v>11</v>
      </c>
    </row>
    <row r="24" spans="1:8" x14ac:dyDescent="0.3">
      <c r="A24">
        <v>1023</v>
      </c>
      <c r="B24" t="s">
        <v>39</v>
      </c>
      <c r="C24" t="s">
        <v>12</v>
      </c>
      <c r="D24">
        <v>27</v>
      </c>
      <c r="E24" t="s">
        <v>21</v>
      </c>
      <c r="F24">
        <v>4</v>
      </c>
      <c r="G24">
        <v>33000</v>
      </c>
      <c r="H24">
        <v>16</v>
      </c>
    </row>
    <row r="25" spans="1:8" x14ac:dyDescent="0.3">
      <c r="A25">
        <v>1024</v>
      </c>
      <c r="B25" t="s">
        <v>40</v>
      </c>
      <c r="C25" t="s">
        <v>9</v>
      </c>
      <c r="D25">
        <v>58</v>
      </c>
      <c r="E25" t="s">
        <v>13</v>
      </c>
      <c r="F25">
        <v>10</v>
      </c>
      <c r="G25">
        <v>99000</v>
      </c>
      <c r="H25">
        <v>28</v>
      </c>
    </row>
    <row r="26" spans="1:8" x14ac:dyDescent="0.3">
      <c r="A26">
        <v>1025</v>
      </c>
      <c r="B26" t="s">
        <v>41</v>
      </c>
      <c r="C26" t="s">
        <v>12</v>
      </c>
      <c r="D26">
        <v>33</v>
      </c>
      <c r="E26" t="s">
        <v>19</v>
      </c>
      <c r="F26">
        <v>6</v>
      </c>
      <c r="G26">
        <v>40000</v>
      </c>
      <c r="H26">
        <v>18</v>
      </c>
    </row>
    <row r="27" spans="1:8" x14ac:dyDescent="0.3">
      <c r="F27">
        <f>COUNTIF(Hospital_Patient_Analytics_Dataset__22[Length_of_Stay_Days],"&gt;=10")</f>
        <v>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FE3AA-C752-4ABD-88DA-75AD181333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E8D06-C5C3-48C3-A4EA-A736741DC7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359883-E326-4EFE-AF79-5FDE4D6F70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MEAN OF TREATMENT COSTS</vt:lpstr>
      <vt:lpstr>MEDIAN LENGTH OF STAY</vt:lpstr>
      <vt:lpstr>MODE OF RECOVERY DAYS</vt:lpstr>
      <vt:lpstr>Total Treatment Costs</vt:lpstr>
      <vt:lpstr>max recovery days</vt:lpstr>
      <vt:lpstr>min length of stay</vt:lpstr>
      <vt:lpstr>number of patients</vt:lpstr>
      <vt:lpstr>average treatment costs</vt:lpstr>
      <vt:lpstr>IF CLAUSE</vt:lpstr>
      <vt:lpstr>total cost of cardiology</vt:lpstr>
      <vt:lpstr>more than 5 days</vt:lpstr>
      <vt:lpstr>avg cost of female patients</vt:lpstr>
      <vt:lpstr>proper case</vt:lpstr>
      <vt:lpstr>FIRST,MID,LAST IN POWER QUERY</vt:lpstr>
      <vt:lpstr>first,mid,last</vt:lpstr>
      <vt:lpstr>UPPER,LOWER IN POWER QUERY</vt:lpstr>
      <vt:lpstr>UPPER ,LOWER</vt:lpstr>
      <vt:lpstr>top 5 department treatment cost</vt:lpstr>
      <vt:lpstr>avg cost per dept</vt:lpstr>
      <vt:lpstr>COUNT OF PATIENTS PER DEPT</vt:lpstr>
      <vt:lpstr>LONG STAY PATIENTS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2026-01-09T10:12:06Z</dcterms:created>
  <dcterms:modified xsi:type="dcterms:W3CDTF">2026-01-23T09:46:48Z</dcterms:modified>
</cp:coreProperties>
</file>